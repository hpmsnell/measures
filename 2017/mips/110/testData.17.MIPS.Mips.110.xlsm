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puty2017\Documents\GitHub\measures\2017\mips\110\"/>
    </mc:Choice>
  </mc:AlternateContent>
  <bookViews>
    <workbookView xWindow="0" yWindow="0" windowWidth="24000" windowHeight="9510"/>
  </bookViews>
  <sheets>
    <sheet name="template" sheetId="4" r:id="rId1"/>
    <sheet name="Sheet2" sheetId="6" r:id="rId2"/>
  </sheets>
  <calcPr calcId="171027"/>
</workbook>
</file>

<file path=xl/calcChain.xml><?xml version="1.0" encoding="utf-8"?>
<calcChain xmlns="http://schemas.openxmlformats.org/spreadsheetml/2006/main">
  <c r="A5" i="4" l="1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4" i="4"/>
</calcChain>
</file>

<file path=xl/sharedStrings.xml><?xml version="1.0" encoding="utf-8"?>
<sst xmlns="http://schemas.openxmlformats.org/spreadsheetml/2006/main" count="1013" uniqueCount="112">
  <si>
    <t>Patient is a male but otherwise meets denominator</t>
  </si>
  <si>
    <t>Patient has no encounter but otherwise meets denominator</t>
  </si>
  <si>
    <t>Patient has an encounter prior to the measurement period</t>
  </si>
  <si>
    <t>Patient has an encounter after the measurement period</t>
  </si>
  <si>
    <t>Male</t>
  </si>
  <si>
    <t>Patient is too young for the denominator but otherwise meets denominator</t>
  </si>
  <si>
    <t>Patient is at lower bound of age range but otherwise meets denominator</t>
  </si>
  <si>
    <t>Patient is a female but otherwise meets denominator</t>
  </si>
  <si>
    <t>Too</t>
  </si>
  <si>
    <t>Young</t>
  </si>
  <si>
    <t>Patient has no diagnosis but otherwise meets the denominator</t>
  </si>
  <si>
    <t>Patient has an ICD-9 coded diagnosis during the measurement period</t>
  </si>
  <si>
    <t>Patient has a ICD-10 coded diagnosis prior to the measurement period</t>
  </si>
  <si>
    <t>Patient has a ICD-10 coded diagnosis after the measurement period</t>
  </si>
  <si>
    <t>Meets</t>
  </si>
  <si>
    <t>Female</t>
  </si>
  <si>
    <t>NoDiagnosis</t>
  </si>
  <si>
    <t>During</t>
  </si>
  <si>
    <t>NoEncounter</t>
  </si>
  <si>
    <t>PriorEncounter</t>
  </si>
  <si>
    <t>AfterEncounter</t>
  </si>
  <si>
    <t>Age</t>
  </si>
  <si>
    <t>Lower</t>
  </si>
  <si>
    <t>AspirinPrescription</t>
  </si>
  <si>
    <t>Prior</t>
  </si>
  <si>
    <t>Patient has a prescription for asprin during measurement period 4086F</t>
  </si>
  <si>
    <t>Patient has an active aspirin order prescribed prior to the measurement period 4086F</t>
  </si>
  <si>
    <t>Patient has a prescription for clopidogrel during measurement period 4086F</t>
  </si>
  <si>
    <t>Patient has an active clopidogrel order prescribed prior to the measurement period 4086F</t>
  </si>
  <si>
    <t>ClopidogrelPrescription</t>
  </si>
  <si>
    <t>4086F</t>
  </si>
  <si>
    <t>Patient meets performance 4086F</t>
  </si>
  <si>
    <t>MeetsNumerator</t>
  </si>
  <si>
    <t>I20.0</t>
  </si>
  <si>
    <t>4086F-1P</t>
  </si>
  <si>
    <t>Patient excepted because of an allergy to aspirin 4086F-1P</t>
  </si>
  <si>
    <t>Patient excepted because of an intolerance to aspirin 4086F-1P</t>
  </si>
  <si>
    <t>Patient excepted because of an existing order for another thienopyridine agent 4086F-1P</t>
  </si>
  <si>
    <t>Patient excepted because of a bleeding coagulation disorder 4086F-1P</t>
  </si>
  <si>
    <t>Patient excepted because of a non-specific medical reason 4086F-1P</t>
  </si>
  <si>
    <t>4086F-2P</t>
  </si>
  <si>
    <t>4086F-3P</t>
  </si>
  <si>
    <t>ExceptedDueTo</t>
  </si>
  <si>
    <t>Allergy</t>
  </si>
  <si>
    <t>Intolerance</t>
  </si>
  <si>
    <t>ThieopyridinePrescription</t>
  </si>
  <si>
    <t>NonSpecificMedicalReason</t>
  </si>
  <si>
    <t>BleedingDisorder</t>
  </si>
  <si>
    <t>PatientDeclined</t>
  </si>
  <si>
    <t>SystemReason</t>
  </si>
  <si>
    <t>Patient excepted because patient declined 4086F-2P</t>
  </si>
  <si>
    <t>Patient excepted because of a system reason 4086F-3P</t>
  </si>
  <si>
    <t>4086F-8P</t>
  </si>
  <si>
    <t>NotMeetNumerator</t>
  </si>
  <si>
    <t>DiagnosisPrior</t>
  </si>
  <si>
    <t>DiagnosisAfter</t>
  </si>
  <si>
    <t>Diagnosis10</t>
  </si>
  <si>
    <t>Diagnosis9</t>
  </si>
  <si>
    <t>Patient has an ICD-10 coded diagnosis during the measurement period</t>
  </si>
  <si>
    <t>denominator</t>
  </si>
  <si>
    <t>denominaor_exclusion</t>
  </si>
  <si>
    <t>denominator_exception</t>
  </si>
  <si>
    <t>numerator</t>
  </si>
  <si>
    <t>name</t>
  </si>
  <si>
    <t>date_of_birth</t>
  </si>
  <si>
    <t>given_name</t>
  </si>
  <si>
    <t>family_name</t>
  </si>
  <si>
    <t>sex</t>
  </si>
  <si>
    <t>provider</t>
  </si>
  <si>
    <t>male</t>
  </si>
  <si>
    <t>female</t>
  </si>
  <si>
    <t>famale</t>
  </si>
  <si>
    <t>Clinical Models</t>
  </si>
  <si>
    <t>code_type</t>
  </si>
  <si>
    <t>code_value</t>
  </si>
  <si>
    <t>start_datetime</t>
  </si>
  <si>
    <t>CPT</t>
  </si>
  <si>
    <t>clinical_activities</t>
  </si>
  <si>
    <t>Rachel</t>
  </si>
  <si>
    <t>Steve</t>
  </si>
  <si>
    <t>icd_type</t>
  </si>
  <si>
    <t>diagnosis</t>
  </si>
  <si>
    <t>attributes</t>
  </si>
  <si>
    <t>dose</t>
  </si>
  <si>
    <t>quantity</t>
  </si>
  <si>
    <t>frequency</t>
  </si>
  <si>
    <t>route</t>
  </si>
  <si>
    <t>days_supplied</t>
  </si>
  <si>
    <t>medications</t>
  </si>
  <si>
    <t>stop_time</t>
  </si>
  <si>
    <t>result</t>
  </si>
  <si>
    <t>ICD-10</t>
  </si>
  <si>
    <t>I25.701</t>
  </si>
  <si>
    <t>I25.810</t>
  </si>
  <si>
    <t>R07.89</t>
  </si>
  <si>
    <t>250;0</t>
  </si>
  <si>
    <t>RXNORM</t>
  </si>
  <si>
    <t>I21.11</t>
  </si>
  <si>
    <t>D69.49</t>
  </si>
  <si>
    <t>twice daily</t>
  </si>
  <si>
    <t>PO</t>
  </si>
  <si>
    <t>once daily</t>
  </si>
  <si>
    <t>dt</t>
  </si>
  <si>
    <t>$a</t>
  </si>
  <si>
    <t>$c</t>
  </si>
  <si>
    <t>$d</t>
  </si>
  <si>
    <t>$m</t>
  </si>
  <si>
    <t>$l</t>
  </si>
  <si>
    <t>laboratory</t>
  </si>
  <si>
    <t xml:space="preserve"> 4086F-1P</t>
  </si>
  <si>
    <t xml:space="preserve"> 4086F-2P</t>
  </si>
  <si>
    <t>855812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</si>
</sst>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2" x14ac:knownFonts="1">
    <font>
      <sz val="10"/>
      <color rgb="FF000000"/>
      <name val="Arial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 applyFont="1" applyAlignment="1"/>
    <xf numFmtId="0" fontId="0" fillId="0" borderId="0" xfId="0" applyFill="1" applyAlignment="1" applyProtection="1">
      <alignment horizont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left"/>
      <protection locked="0"/>
    </xf>
    <xf numFmtId="164" fontId="0" fillId="0" borderId="0" xfId="0" applyNumberFormat="1" applyFill="1" applyAlignment="1" applyProtection="1">
      <alignment horizontal="center"/>
      <protection locked="0"/>
    </xf>
    <xf numFmtId="0" fontId="0" fillId="0" borderId="0" xfId="0" applyFill="1" applyBorder="1"/>
    <xf numFmtId="0" fontId="0" fillId="0" borderId="2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left"/>
      <protection locked="0"/>
    </xf>
    <xf numFmtId="0" fontId="0" fillId="2" borderId="0" xfId="0" applyFill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1" fillId="2" borderId="0" xfId="0" applyFont="1" applyFill="1" applyBorder="1" applyAlignment="1" applyProtection="1">
      <alignment horizontal="center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Alignment="1" applyProtection="1">
      <alignment horizontal="center"/>
      <protection locked="0"/>
    </xf>
    <xf numFmtId="164" fontId="1" fillId="0" borderId="0" xfId="0" applyNumberFormat="1" applyFont="1" applyFill="1" applyBorder="1" applyAlignment="1" applyProtection="1">
      <alignment horizontal="center"/>
      <protection locked="0"/>
    </xf>
    <xf numFmtId="164" fontId="0" fillId="2" borderId="0" xfId="0" applyNumberFormat="1" applyFill="1" applyBorder="1" applyAlignment="1" applyProtection="1">
      <alignment horizontal="center"/>
      <protection locked="0"/>
    </xf>
    <xf numFmtId="164" fontId="0" fillId="0" borderId="0" xfId="0" applyNumberFormat="1" applyFill="1" applyAlignment="1" applyProtection="1">
      <alignment horizontal="left"/>
      <protection locked="0"/>
    </xf>
    <xf numFmtId="0" fontId="0" fillId="0" borderId="0" xfId="0" applyFill="1" applyAlignment="1">
      <alignment horizontal="left" vertical="top" wrapText="1"/>
    </xf>
    <xf numFmtId="0" fontId="0" fillId="0" borderId="0" xfId="0" applyFill="1" applyBorder="1" applyAlignment="1">
      <alignment horizontal="center"/>
    </xf>
    <xf numFmtId="164" fontId="0" fillId="0" borderId="2" xfId="0" applyNumberFormat="1" applyFill="1" applyBorder="1" applyAlignment="1" applyProtection="1">
      <alignment horizontal="center"/>
      <protection locked="0"/>
    </xf>
    <xf numFmtId="164" fontId="1" fillId="0" borderId="0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164" fontId="0" fillId="0" borderId="0" xfId="0" applyNumberFormat="1" applyFill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left"/>
    </xf>
    <xf numFmtId="0" fontId="0" fillId="2" borderId="0" xfId="0" applyFill="1" applyBorder="1" applyAlignment="1">
      <alignment horizontal="center" vertical="top" wrapText="1"/>
    </xf>
    <xf numFmtId="164" fontId="0" fillId="2" borderId="0" xfId="0" applyNumberFormat="1" applyFill="1" applyBorder="1" applyAlignment="1" applyProtection="1">
      <alignment horizontal="left"/>
      <protection locked="0"/>
    </xf>
    <xf numFmtId="0" fontId="1" fillId="0" borderId="0" xfId="0" applyFont="1" applyFill="1" applyBorder="1" applyAlignment="1" applyProtection="1">
      <protection locked="0"/>
    </xf>
    <xf numFmtId="0" fontId="0" fillId="0" borderId="0" xfId="0" applyFill="1" applyBorder="1" applyAlignment="1" applyProtection="1"/>
    <xf numFmtId="0" fontId="1" fillId="0" borderId="3" xfId="0" applyFont="1" applyFill="1" applyBorder="1" applyAlignment="1" applyProtection="1">
      <protection locked="0"/>
    </xf>
    <xf numFmtId="0" fontId="1" fillId="0" borderId="4" xfId="0" applyFont="1" applyFill="1" applyBorder="1" applyAlignment="1" applyProtection="1">
      <alignment horizontal="center"/>
      <protection locked="0"/>
    </xf>
    <xf numFmtId="0" fontId="1" fillId="2" borderId="4" xfId="0" applyFont="1" applyFill="1" applyBorder="1" applyAlignment="1" applyProtection="1">
      <alignment horizontal="center"/>
      <protection locked="0"/>
    </xf>
    <xf numFmtId="0" fontId="0" fillId="0" borderId="4" xfId="0" applyFill="1" applyBorder="1" applyAlignment="1" applyProtection="1">
      <alignment horizontal="center"/>
      <protection locked="0"/>
    </xf>
    <xf numFmtId="0" fontId="1" fillId="0" borderId="4" xfId="0" applyFont="1" applyFill="1" applyBorder="1" applyAlignment="1" applyProtection="1">
      <protection locked="0"/>
    </xf>
    <xf numFmtId="0" fontId="0" fillId="0" borderId="3" xfId="0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left"/>
      <protection locked="0"/>
    </xf>
    <xf numFmtId="0" fontId="1" fillId="0" borderId="1" xfId="0" applyFont="1" applyFill="1" applyBorder="1" applyAlignment="1" applyProtection="1">
      <alignment horizontal="center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1" fillId="0" borderId="2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V133"/>
  <sheetViews>
    <sheetView tabSelected="1" zoomScaleNormal="100" workbookViewId="0">
      <pane xSplit="6" topLeftCell="L1" activePane="topRight" state="frozen"/>
      <selection pane="topRight" activeCell="W9" sqref="M9:W11"/>
    </sheetView>
  </sheetViews>
  <sheetFormatPr defaultRowHeight="12.75" x14ac:dyDescent="0.2"/>
  <cols>
    <col min="1" max="1" width="37.140625" style="6" customWidth="1"/>
    <col min="2" max="2" width="25.5703125" style="3" hidden="1" customWidth="1"/>
    <col min="3" max="3" width="22.7109375" style="3" hidden="1" customWidth="1"/>
    <col min="4" max="4" width="17.5703125" style="3" hidden="1" customWidth="1"/>
    <col min="5" max="5" width="39" style="3" hidden="1" customWidth="1"/>
    <col min="6" max="6" width="54.42578125" style="6" hidden="1" customWidth="1"/>
    <col min="7" max="7" width="3.5703125" style="39" customWidth="1"/>
    <col min="8" max="8" width="11.5703125" style="18" customWidth="1"/>
    <col min="9" max="10" width="25.140625" style="6" customWidth="1"/>
    <col min="11" max="11" width="6.7109375" style="3" customWidth="1"/>
    <col min="12" max="12" width="3.7109375" style="39" customWidth="1"/>
    <col min="13" max="14" width="13.5703125" style="3" customWidth="1"/>
    <col min="15" max="15" width="13.5703125" style="18" customWidth="1"/>
    <col min="16" max="16" width="13.5703125" style="3" hidden="1" customWidth="1"/>
    <col min="17" max="17" width="3.5703125" style="39" customWidth="1"/>
    <col min="18" max="19" width="13.5703125" style="6" customWidth="1"/>
    <col min="20" max="20" width="13.5703125" style="29" customWidth="1"/>
    <col min="21" max="21" width="13.5703125" style="6" customWidth="1"/>
    <col min="22" max="22" width="3.85546875" style="39" customWidth="1"/>
    <col min="23" max="24" width="15.140625" style="3" customWidth="1"/>
    <col min="25" max="25" width="15.140625" style="18" customWidth="1"/>
    <col min="26" max="26" width="15.140625" style="3" customWidth="1"/>
    <col min="27" max="27" width="3.7109375" style="39" customWidth="1"/>
    <col min="28" max="28" width="15.140625" style="3" customWidth="1"/>
    <col min="29" max="29" width="15.140625" style="15" customWidth="1"/>
    <col min="30" max="30" width="15.140625" style="3" customWidth="1"/>
    <col min="31" max="31" width="15.140625" style="18" customWidth="1"/>
    <col min="32" max="32" width="3.7109375" style="39" customWidth="1"/>
    <col min="33" max="33" width="12.28515625" style="3" customWidth="1"/>
    <col min="34" max="34" width="15.85546875" style="3" customWidth="1"/>
    <col min="35" max="35" width="8.140625" style="3" customWidth="1"/>
    <col min="36" max="36" width="7.5703125" style="3" bestFit="1" customWidth="1"/>
    <col min="37" max="37" width="12.42578125" style="3" customWidth="1"/>
    <col min="38" max="38" width="5.140625" style="3" bestFit="1" customWidth="1"/>
    <col min="39" max="39" width="12.85546875" style="18" bestFit="1" customWidth="1"/>
    <col min="40" max="40" width="20.140625" style="3" bestFit="1" customWidth="1"/>
    <col min="41" max="41" width="14.7109375" style="3" customWidth="1"/>
    <col min="42" max="42" width="3.7109375" style="39" customWidth="1"/>
    <col min="43" max="45" width="14.7109375" style="3" customWidth="1"/>
    <col min="46" max="46" width="14.7109375" style="18" customWidth="1"/>
    <col min="47" max="16384" width="9.140625" style="6"/>
  </cols>
  <sheetData>
    <row r="1" spans="1:48" s="30" customFormat="1" ht="36.75" customHeight="1" x14ac:dyDescent="0.2">
      <c r="F1" s="34"/>
      <c r="G1" s="41"/>
      <c r="H1" s="45" t="s">
        <v>72</v>
      </c>
      <c r="I1" s="46"/>
      <c r="J1" s="46"/>
      <c r="K1" s="47"/>
      <c r="L1" s="41"/>
      <c r="M1" s="45" t="s">
        <v>72</v>
      </c>
      <c r="N1" s="46"/>
      <c r="O1" s="46"/>
      <c r="P1" s="47"/>
      <c r="Q1" s="36"/>
      <c r="R1" s="45" t="s">
        <v>72</v>
      </c>
      <c r="S1" s="46"/>
      <c r="T1" s="46"/>
      <c r="U1" s="47"/>
      <c r="V1" s="36"/>
      <c r="W1" s="45" t="s">
        <v>72</v>
      </c>
      <c r="X1" s="46"/>
      <c r="Y1" s="46"/>
      <c r="Z1" s="47"/>
      <c r="AA1" s="36"/>
      <c r="AB1" s="45" t="s">
        <v>72</v>
      </c>
      <c r="AC1" s="46"/>
      <c r="AD1" s="46"/>
      <c r="AE1" s="47"/>
      <c r="AF1" s="36"/>
      <c r="AG1" s="45" t="s">
        <v>72</v>
      </c>
      <c r="AH1" s="46"/>
      <c r="AI1" s="46"/>
      <c r="AJ1" s="46"/>
      <c r="AK1" s="46"/>
      <c r="AL1" s="46"/>
      <c r="AM1" s="46"/>
      <c r="AN1" s="46"/>
      <c r="AO1" s="47"/>
      <c r="AP1" s="36"/>
      <c r="AQ1" s="45" t="s">
        <v>72</v>
      </c>
      <c r="AR1" s="46"/>
      <c r="AS1" s="46"/>
      <c r="AT1" s="46"/>
      <c r="AU1" s="3"/>
      <c r="AV1" s="3"/>
    </row>
    <row r="2" spans="1:48" s="3" customFormat="1" ht="36.75" customHeight="1" x14ac:dyDescent="0.2">
      <c r="A2" s="35"/>
      <c r="B2" s="35"/>
      <c r="C2" s="35"/>
      <c r="D2" s="35"/>
      <c r="E2" s="35"/>
      <c r="F2" s="14"/>
      <c r="G2" s="37"/>
      <c r="H2" s="45" t="s">
        <v>82</v>
      </c>
      <c r="I2" s="46"/>
      <c r="J2" s="46"/>
      <c r="K2" s="47"/>
      <c r="L2" s="37"/>
      <c r="M2" s="45" t="s">
        <v>77</v>
      </c>
      <c r="N2" s="46"/>
      <c r="O2" s="46"/>
      <c r="P2" s="47"/>
      <c r="Q2" s="37"/>
      <c r="R2" s="45" t="s">
        <v>77</v>
      </c>
      <c r="S2" s="46"/>
      <c r="T2" s="46"/>
      <c r="U2" s="47"/>
      <c r="V2" s="37"/>
      <c r="W2" s="45" t="s">
        <v>81</v>
      </c>
      <c r="X2" s="46"/>
      <c r="Y2" s="46"/>
      <c r="Z2" s="47"/>
      <c r="AA2" s="40"/>
      <c r="AB2" s="45" t="s">
        <v>81</v>
      </c>
      <c r="AC2" s="46"/>
      <c r="AD2" s="46"/>
      <c r="AE2" s="47"/>
      <c r="AF2" s="40"/>
      <c r="AG2" s="45" t="s">
        <v>88</v>
      </c>
      <c r="AH2" s="46"/>
      <c r="AI2" s="46"/>
      <c r="AJ2" s="46"/>
      <c r="AK2" s="46"/>
      <c r="AL2" s="46"/>
      <c r="AM2" s="46"/>
      <c r="AN2" s="46"/>
      <c r="AO2" s="47"/>
      <c r="AP2" s="40"/>
      <c r="AQ2" s="46" t="s">
        <v>108</v>
      </c>
      <c r="AR2" s="46"/>
      <c r="AS2" s="46"/>
      <c r="AT2" s="46"/>
    </row>
    <row r="3" spans="1:48" s="3" customFormat="1" ht="36.75" customHeight="1" x14ac:dyDescent="0.2">
      <c r="A3" s="42" t="s">
        <v>63</v>
      </c>
      <c r="B3" s="43" t="s">
        <v>59</v>
      </c>
      <c r="C3" s="43" t="s">
        <v>60</v>
      </c>
      <c r="D3" s="43" t="s">
        <v>61</v>
      </c>
      <c r="E3" s="43" t="s">
        <v>62</v>
      </c>
      <c r="F3" s="17" t="s">
        <v>63</v>
      </c>
      <c r="G3" s="37" t="s">
        <v>102</v>
      </c>
      <c r="H3" s="18" t="s">
        <v>64</v>
      </c>
      <c r="I3" s="3" t="s">
        <v>65</v>
      </c>
      <c r="J3" s="3" t="s">
        <v>66</v>
      </c>
      <c r="K3" s="3" t="s">
        <v>67</v>
      </c>
      <c r="L3" s="37" t="s">
        <v>102</v>
      </c>
      <c r="M3" s="17" t="s">
        <v>73</v>
      </c>
      <c r="N3" s="19" t="s">
        <v>74</v>
      </c>
      <c r="O3" s="19" t="s">
        <v>75</v>
      </c>
      <c r="P3" s="17" t="s">
        <v>68</v>
      </c>
      <c r="Q3" s="37" t="s">
        <v>102</v>
      </c>
      <c r="R3" s="17" t="s">
        <v>73</v>
      </c>
      <c r="S3" s="19" t="s">
        <v>74</v>
      </c>
      <c r="T3" s="19" t="s">
        <v>75</v>
      </c>
      <c r="U3" s="17" t="s">
        <v>68</v>
      </c>
      <c r="V3" s="37" t="s">
        <v>105</v>
      </c>
      <c r="W3" s="17" t="s">
        <v>80</v>
      </c>
      <c r="X3" s="17"/>
      <c r="Y3" s="19" t="s">
        <v>75</v>
      </c>
      <c r="Z3" s="17" t="s">
        <v>68</v>
      </c>
      <c r="AA3" s="37" t="s">
        <v>102</v>
      </c>
      <c r="AB3" s="17" t="s">
        <v>80</v>
      </c>
      <c r="AC3" s="16" t="s">
        <v>74</v>
      </c>
      <c r="AD3" s="19" t="s">
        <v>75</v>
      </c>
      <c r="AE3" s="17" t="s">
        <v>68</v>
      </c>
      <c r="AF3" s="37" t="s">
        <v>102</v>
      </c>
      <c r="AG3" s="17" t="s">
        <v>73</v>
      </c>
      <c r="AH3" s="17" t="s">
        <v>74</v>
      </c>
      <c r="AI3" s="23" t="s">
        <v>83</v>
      </c>
      <c r="AJ3" s="23" t="s">
        <v>84</v>
      </c>
      <c r="AK3" s="23" t="s">
        <v>85</v>
      </c>
      <c r="AL3" s="23" t="s">
        <v>86</v>
      </c>
      <c r="AM3" s="25" t="s">
        <v>75</v>
      </c>
      <c r="AN3" s="26" t="s">
        <v>89</v>
      </c>
      <c r="AO3" s="23" t="s">
        <v>87</v>
      </c>
      <c r="AP3" s="37" t="s">
        <v>102</v>
      </c>
      <c r="AQ3" s="17" t="s">
        <v>73</v>
      </c>
      <c r="AR3" s="17" t="s">
        <v>74</v>
      </c>
      <c r="AS3" s="3" t="s">
        <v>90</v>
      </c>
      <c r="AT3" s="18" t="s">
        <v>75</v>
      </c>
    </row>
    <row r="4" spans="1:48" x14ac:dyDescent="0.2">
      <c r="A4" s="31" t="str">
        <f>CONCATENATE(I4," ",J4)</f>
        <v>Too Young</v>
      </c>
      <c r="F4" s="6" t="s">
        <v>5</v>
      </c>
      <c r="G4" s="37" t="s">
        <v>103</v>
      </c>
      <c r="H4" s="18">
        <v>36531</v>
      </c>
      <c r="I4" s="6" t="s">
        <v>8</v>
      </c>
      <c r="J4" s="6" t="s">
        <v>9</v>
      </c>
      <c r="K4" s="17" t="s">
        <v>69</v>
      </c>
      <c r="L4" s="37" t="s">
        <v>104</v>
      </c>
      <c r="M4" s="17" t="s">
        <v>76</v>
      </c>
      <c r="N4" s="3">
        <v>99202</v>
      </c>
      <c r="O4" s="18">
        <v>42522</v>
      </c>
      <c r="P4" s="17" t="s">
        <v>78</v>
      </c>
      <c r="Q4" s="37" t="s">
        <v>104</v>
      </c>
      <c r="R4" s="17"/>
      <c r="S4" s="3"/>
      <c r="T4" s="18"/>
      <c r="U4" s="17"/>
      <c r="V4" s="37" t="s">
        <v>105</v>
      </c>
      <c r="W4" s="17" t="s">
        <v>91</v>
      </c>
      <c r="X4" s="17" t="s">
        <v>92</v>
      </c>
      <c r="Y4" s="18">
        <v>42522</v>
      </c>
      <c r="Z4" s="17" t="s">
        <v>78</v>
      </c>
      <c r="AA4" s="37" t="s">
        <v>105</v>
      </c>
      <c r="AB4" s="17"/>
      <c r="AC4" s="16"/>
      <c r="AD4" s="18"/>
      <c r="AE4" s="17"/>
      <c r="AF4" s="37" t="s">
        <v>106</v>
      </c>
      <c r="AG4" s="26"/>
      <c r="AH4" s="26"/>
      <c r="AI4" s="23"/>
      <c r="AJ4" s="23"/>
      <c r="AK4" s="23"/>
      <c r="AL4" s="23"/>
      <c r="AM4" s="27"/>
      <c r="AN4" s="23"/>
      <c r="AO4" s="23"/>
      <c r="AP4" s="37" t="s">
        <v>107</v>
      </c>
      <c r="AQ4" s="23"/>
      <c r="AR4" s="23"/>
      <c r="AS4" s="23"/>
      <c r="AT4" s="27"/>
    </row>
    <row r="5" spans="1:48" x14ac:dyDescent="0.2">
      <c r="A5" s="31" t="str">
        <f t="shared" ref="A5:A28" si="0">CONCATENATE(I5," ",J5)</f>
        <v>Age Lower</v>
      </c>
      <c r="B5" s="3">
        <v>1</v>
      </c>
      <c r="F5" s="6" t="s">
        <v>6</v>
      </c>
      <c r="G5" s="37" t="s">
        <v>103</v>
      </c>
      <c r="H5" s="18">
        <v>35947</v>
      </c>
      <c r="I5" s="6" t="s">
        <v>21</v>
      </c>
      <c r="J5" s="6" t="s">
        <v>22</v>
      </c>
      <c r="K5" s="17" t="s">
        <v>70</v>
      </c>
      <c r="L5" s="37" t="s">
        <v>104</v>
      </c>
      <c r="M5" s="17" t="s">
        <v>76</v>
      </c>
      <c r="N5" s="3">
        <v>99201</v>
      </c>
      <c r="O5" s="18">
        <v>42522</v>
      </c>
      <c r="P5" s="17" t="s">
        <v>79</v>
      </c>
      <c r="Q5" s="37" t="s">
        <v>104</v>
      </c>
      <c r="R5" s="17"/>
      <c r="S5" s="3"/>
      <c r="T5" s="18"/>
      <c r="U5" s="17"/>
      <c r="V5" s="37" t="s">
        <v>105</v>
      </c>
      <c r="W5" s="17" t="s">
        <v>91</v>
      </c>
      <c r="X5" s="17" t="s">
        <v>33</v>
      </c>
      <c r="Y5" s="18">
        <v>42522</v>
      </c>
      <c r="Z5" s="17" t="s">
        <v>78</v>
      </c>
      <c r="AA5" s="37" t="s">
        <v>105</v>
      </c>
      <c r="AB5" s="17"/>
      <c r="AC5" s="16"/>
      <c r="AD5" s="18"/>
      <c r="AE5" s="17"/>
      <c r="AF5" s="37" t="s">
        <v>106</v>
      </c>
      <c r="AG5" s="26"/>
      <c r="AH5" s="26"/>
      <c r="AI5" s="23"/>
      <c r="AJ5" s="23"/>
      <c r="AK5" s="23"/>
      <c r="AL5" s="23"/>
      <c r="AM5" s="27"/>
      <c r="AN5" s="23"/>
      <c r="AO5" s="23"/>
      <c r="AP5" s="37" t="s">
        <v>107</v>
      </c>
      <c r="AQ5" s="23"/>
      <c r="AR5" s="23"/>
      <c r="AS5" s="23"/>
      <c r="AT5" s="27"/>
    </row>
    <row r="6" spans="1:48" x14ac:dyDescent="0.2">
      <c r="A6" s="31" t="str">
        <f t="shared" si="0"/>
        <v>Meets Male</v>
      </c>
      <c r="B6" s="3">
        <v>1</v>
      </c>
      <c r="F6" s="6" t="s">
        <v>0</v>
      </c>
      <c r="G6" s="37" t="s">
        <v>103</v>
      </c>
      <c r="H6" s="18">
        <v>29373</v>
      </c>
      <c r="I6" s="6" t="s">
        <v>14</v>
      </c>
      <c r="J6" s="6" t="s">
        <v>4</v>
      </c>
      <c r="K6" s="17" t="s">
        <v>69</v>
      </c>
      <c r="L6" s="37" t="s">
        <v>104</v>
      </c>
      <c r="M6" s="17" t="s">
        <v>76</v>
      </c>
      <c r="N6" s="3">
        <v>99202</v>
      </c>
      <c r="O6" s="18">
        <v>42522</v>
      </c>
      <c r="P6" s="17" t="s">
        <v>79</v>
      </c>
      <c r="Q6" s="37" t="s">
        <v>104</v>
      </c>
      <c r="R6" s="17"/>
      <c r="S6" s="3"/>
      <c r="T6" s="18"/>
      <c r="U6" s="17"/>
      <c r="V6" s="37" t="s">
        <v>105</v>
      </c>
      <c r="W6" s="17" t="s">
        <v>91</v>
      </c>
      <c r="X6" s="17" t="s">
        <v>93</v>
      </c>
      <c r="Y6" s="18">
        <v>42522</v>
      </c>
      <c r="Z6" s="17" t="s">
        <v>78</v>
      </c>
      <c r="AA6" s="37" t="s">
        <v>105</v>
      </c>
      <c r="AB6" s="17"/>
      <c r="AC6" s="16"/>
      <c r="AD6" s="18"/>
      <c r="AE6" s="17"/>
      <c r="AF6" s="37" t="s">
        <v>106</v>
      </c>
      <c r="AG6" s="26"/>
      <c r="AH6" s="26"/>
      <c r="AI6" s="23"/>
      <c r="AJ6" s="23"/>
      <c r="AK6" s="23"/>
      <c r="AL6" s="23"/>
      <c r="AM6" s="27"/>
      <c r="AN6" s="23"/>
      <c r="AO6" s="23"/>
      <c r="AP6" s="37" t="s">
        <v>107</v>
      </c>
      <c r="AQ6" s="23"/>
      <c r="AR6" s="23"/>
      <c r="AS6" s="23"/>
      <c r="AT6" s="27"/>
    </row>
    <row r="7" spans="1:48" x14ac:dyDescent="0.2">
      <c r="A7" s="31" t="str">
        <f t="shared" si="0"/>
        <v>Meets Female</v>
      </c>
      <c r="B7" s="3">
        <v>1</v>
      </c>
      <c r="F7" s="6" t="s">
        <v>7</v>
      </c>
      <c r="G7" s="37" t="s">
        <v>103</v>
      </c>
      <c r="H7" s="18">
        <v>29373</v>
      </c>
      <c r="I7" s="6" t="s">
        <v>14</v>
      </c>
      <c r="J7" s="6" t="s">
        <v>15</v>
      </c>
      <c r="K7" s="17" t="s">
        <v>70</v>
      </c>
      <c r="L7" s="37" t="s">
        <v>104</v>
      </c>
      <c r="M7" s="17" t="s">
        <v>76</v>
      </c>
      <c r="N7" s="3">
        <v>99202</v>
      </c>
      <c r="O7" s="18">
        <v>42522</v>
      </c>
      <c r="P7" s="17" t="s">
        <v>79</v>
      </c>
      <c r="Q7" s="37" t="s">
        <v>104</v>
      </c>
      <c r="R7" s="17"/>
      <c r="S7" s="3"/>
      <c r="T7" s="18"/>
      <c r="U7" s="17"/>
      <c r="V7" s="37" t="s">
        <v>105</v>
      </c>
      <c r="W7" s="17" t="s">
        <v>91</v>
      </c>
      <c r="X7" s="17" t="s">
        <v>93</v>
      </c>
      <c r="Y7" s="18">
        <v>42522</v>
      </c>
      <c r="Z7" s="17" t="s">
        <v>78</v>
      </c>
      <c r="AA7" s="37" t="s">
        <v>105</v>
      </c>
      <c r="AB7" s="17"/>
      <c r="AC7" s="16"/>
      <c r="AD7" s="18"/>
      <c r="AE7" s="17"/>
      <c r="AF7" s="37" t="s">
        <v>106</v>
      </c>
      <c r="AG7" s="26"/>
      <c r="AH7" s="26"/>
      <c r="AI7" s="23"/>
      <c r="AJ7" s="23"/>
      <c r="AK7" s="23"/>
      <c r="AL7" s="23"/>
      <c r="AM7" s="27"/>
      <c r="AN7" s="23"/>
      <c r="AO7" s="23"/>
      <c r="AP7" s="37" t="s">
        <v>107</v>
      </c>
      <c r="AQ7" s="23"/>
      <c r="AR7" s="23"/>
      <c r="AS7" s="23"/>
      <c r="AT7" s="27"/>
    </row>
    <row r="8" spans="1:48" x14ac:dyDescent="0.2">
      <c r="A8" s="31" t="str">
        <f t="shared" si="0"/>
        <v>Meets NoDiagnosis</v>
      </c>
      <c r="F8" s="6" t="s">
        <v>10</v>
      </c>
      <c r="G8" s="37" t="s">
        <v>103</v>
      </c>
      <c r="H8" s="18">
        <v>29373</v>
      </c>
      <c r="I8" s="6" t="s">
        <v>14</v>
      </c>
      <c r="J8" s="6" t="s">
        <v>16</v>
      </c>
      <c r="K8" s="17" t="s">
        <v>69</v>
      </c>
      <c r="L8" s="37" t="s">
        <v>104</v>
      </c>
      <c r="M8" s="17" t="s">
        <v>76</v>
      </c>
      <c r="N8" s="3">
        <v>99202</v>
      </c>
      <c r="O8" s="18">
        <v>42522</v>
      </c>
      <c r="P8" s="17" t="s">
        <v>78</v>
      </c>
      <c r="Q8" s="37" t="s">
        <v>104</v>
      </c>
      <c r="R8" s="17"/>
      <c r="S8" s="3"/>
      <c r="T8" s="18"/>
      <c r="U8" s="17"/>
      <c r="V8" s="37" t="s">
        <v>105</v>
      </c>
      <c r="W8" s="17" t="s">
        <v>91</v>
      </c>
      <c r="X8" s="3" t="s">
        <v>94</v>
      </c>
      <c r="Y8" s="18">
        <v>42522</v>
      </c>
      <c r="Z8" s="17" t="s">
        <v>78</v>
      </c>
      <c r="AA8" s="37" t="s">
        <v>105</v>
      </c>
      <c r="AB8" s="17"/>
      <c r="AD8" s="18"/>
      <c r="AE8" s="17"/>
      <c r="AF8" s="37" t="s">
        <v>106</v>
      </c>
      <c r="AG8" s="26"/>
      <c r="AH8" s="26"/>
      <c r="AI8" s="23"/>
      <c r="AJ8" s="23"/>
      <c r="AK8" s="23"/>
      <c r="AL8" s="23"/>
      <c r="AM8" s="27"/>
      <c r="AN8" s="23"/>
      <c r="AO8" s="23"/>
      <c r="AP8" s="37" t="s">
        <v>107</v>
      </c>
      <c r="AQ8" s="23"/>
      <c r="AR8" s="23"/>
      <c r="AS8" s="23"/>
      <c r="AT8" s="27"/>
    </row>
    <row r="9" spans="1:48" x14ac:dyDescent="0.2">
      <c r="A9" s="31" t="str">
        <f t="shared" si="0"/>
        <v>Meets DiagnosisPrior</v>
      </c>
      <c r="B9" s="3">
        <v>1</v>
      </c>
      <c r="F9" s="6" t="s">
        <v>12</v>
      </c>
      <c r="G9" s="37" t="s">
        <v>103</v>
      </c>
      <c r="H9" s="18">
        <v>29373</v>
      </c>
      <c r="I9" s="44" t="s">
        <v>14</v>
      </c>
      <c r="J9" s="6" t="s">
        <v>54</v>
      </c>
      <c r="K9" s="17" t="s">
        <v>69</v>
      </c>
      <c r="L9" s="37" t="s">
        <v>104</v>
      </c>
      <c r="M9" s="17" t="s">
        <v>76</v>
      </c>
      <c r="N9" s="3">
        <v>99202</v>
      </c>
      <c r="O9" s="18">
        <v>42522</v>
      </c>
      <c r="P9" s="17" t="s">
        <v>79</v>
      </c>
      <c r="Q9" s="37" t="s">
        <v>104</v>
      </c>
      <c r="R9" s="17"/>
      <c r="S9" s="3"/>
      <c r="T9" s="18"/>
      <c r="U9" s="17"/>
      <c r="V9" s="37" t="s">
        <v>105</v>
      </c>
      <c r="W9" s="17" t="s">
        <v>91</v>
      </c>
      <c r="X9" s="17" t="s">
        <v>93</v>
      </c>
      <c r="Y9" s="18">
        <v>40308</v>
      </c>
      <c r="Z9" s="17" t="s">
        <v>79</v>
      </c>
      <c r="AA9" s="37" t="s">
        <v>105</v>
      </c>
      <c r="AB9" s="17"/>
      <c r="AC9" s="16"/>
      <c r="AD9" s="18"/>
      <c r="AE9" s="17"/>
      <c r="AF9" s="37" t="s">
        <v>106</v>
      </c>
      <c r="AG9" s="26"/>
      <c r="AH9" s="26"/>
      <c r="AI9" s="23"/>
      <c r="AJ9" s="23"/>
      <c r="AK9" s="23"/>
      <c r="AL9" s="23"/>
      <c r="AM9" s="27"/>
      <c r="AN9" s="23"/>
      <c r="AO9" s="23"/>
      <c r="AP9" s="37" t="s">
        <v>107</v>
      </c>
      <c r="AQ9" s="23"/>
      <c r="AR9" s="23"/>
      <c r="AS9" s="23"/>
    </row>
    <row r="10" spans="1:48" x14ac:dyDescent="0.2">
      <c r="A10" s="31" t="str">
        <f t="shared" si="0"/>
        <v>Meets DiagnosisAfter</v>
      </c>
      <c r="F10" s="6" t="s">
        <v>13</v>
      </c>
      <c r="G10" s="37" t="s">
        <v>103</v>
      </c>
      <c r="H10" s="18">
        <v>29373</v>
      </c>
      <c r="I10" s="6" t="s">
        <v>14</v>
      </c>
      <c r="J10" s="6" t="s">
        <v>55</v>
      </c>
      <c r="K10" s="17" t="s">
        <v>70</v>
      </c>
      <c r="L10" s="37" t="s">
        <v>104</v>
      </c>
      <c r="M10" s="17" t="s">
        <v>76</v>
      </c>
      <c r="N10" s="3">
        <v>99201</v>
      </c>
      <c r="O10" s="18">
        <v>43252</v>
      </c>
      <c r="P10" s="17" t="s">
        <v>78</v>
      </c>
      <c r="Q10" s="37" t="s">
        <v>104</v>
      </c>
      <c r="R10" s="17"/>
      <c r="S10" s="3"/>
      <c r="T10" s="18"/>
      <c r="U10" s="17"/>
      <c r="V10" s="37" t="s">
        <v>105</v>
      </c>
      <c r="W10" s="17" t="s">
        <v>91</v>
      </c>
      <c r="X10" s="17" t="s">
        <v>93</v>
      </c>
      <c r="Y10" s="18">
        <v>43299</v>
      </c>
      <c r="Z10" s="17" t="s">
        <v>78</v>
      </c>
      <c r="AA10" s="37" t="s">
        <v>105</v>
      </c>
      <c r="AB10" s="17"/>
      <c r="AC10" s="16"/>
      <c r="AD10" s="18"/>
      <c r="AE10" s="17"/>
      <c r="AF10" s="37" t="s">
        <v>106</v>
      </c>
      <c r="AG10" s="26"/>
      <c r="AH10" s="26"/>
      <c r="AI10" s="23"/>
      <c r="AJ10" s="23"/>
      <c r="AK10" s="23"/>
      <c r="AL10" s="23"/>
      <c r="AM10" s="27"/>
      <c r="AN10" s="23"/>
      <c r="AO10" s="23"/>
      <c r="AP10" s="37" t="s">
        <v>107</v>
      </c>
      <c r="AQ10" s="23"/>
      <c r="AR10" s="23"/>
      <c r="AS10" s="23"/>
    </row>
    <row r="11" spans="1:48" x14ac:dyDescent="0.2">
      <c r="A11" s="31" t="str">
        <f t="shared" si="0"/>
        <v>Diagnosis10 During</v>
      </c>
      <c r="F11" s="6" t="s">
        <v>58</v>
      </c>
      <c r="G11" s="37" t="s">
        <v>103</v>
      </c>
      <c r="H11" s="18">
        <v>29373</v>
      </c>
      <c r="I11" s="6" t="s">
        <v>56</v>
      </c>
      <c r="J11" s="6" t="s">
        <v>17</v>
      </c>
      <c r="K11" s="17" t="s">
        <v>71</v>
      </c>
      <c r="L11" s="37" t="s">
        <v>104</v>
      </c>
      <c r="M11" s="17" t="s">
        <v>76</v>
      </c>
      <c r="N11" s="3">
        <v>99201</v>
      </c>
      <c r="O11" s="18">
        <v>42887</v>
      </c>
      <c r="P11" s="17" t="s">
        <v>79</v>
      </c>
      <c r="Q11" s="37" t="s">
        <v>104</v>
      </c>
      <c r="R11" s="17"/>
      <c r="S11" s="3"/>
      <c r="T11" s="18"/>
      <c r="U11" s="17"/>
      <c r="V11" s="37" t="s">
        <v>105</v>
      </c>
      <c r="W11" s="17" t="s">
        <v>91</v>
      </c>
      <c r="X11" s="17" t="s">
        <v>93</v>
      </c>
      <c r="Y11" s="18">
        <v>42522</v>
      </c>
      <c r="Z11" s="17" t="s">
        <v>78</v>
      </c>
      <c r="AA11" s="37" t="s">
        <v>105</v>
      </c>
      <c r="AB11" s="17"/>
      <c r="AC11" s="16"/>
      <c r="AD11" s="18"/>
      <c r="AE11" s="17"/>
      <c r="AF11" s="37" t="s">
        <v>106</v>
      </c>
      <c r="AG11" s="26"/>
      <c r="AH11" s="26"/>
      <c r="AI11" s="23"/>
      <c r="AJ11" s="23"/>
      <c r="AK11" s="23"/>
      <c r="AL11" s="23"/>
      <c r="AM11" s="27"/>
      <c r="AN11" s="23"/>
      <c r="AO11" s="23"/>
      <c r="AP11" s="37" t="s">
        <v>107</v>
      </c>
      <c r="AQ11" s="23"/>
      <c r="AR11" s="23"/>
      <c r="AS11" s="23"/>
      <c r="AV11" s="8"/>
    </row>
    <row r="12" spans="1:48" x14ac:dyDescent="0.2">
      <c r="A12" s="31" t="str">
        <f t="shared" si="0"/>
        <v>Diagnosis9 During</v>
      </c>
      <c r="B12" s="3">
        <v>1</v>
      </c>
      <c r="F12" s="6" t="s">
        <v>11</v>
      </c>
      <c r="G12" s="37" t="s">
        <v>103</v>
      </c>
      <c r="H12" s="18">
        <v>29373</v>
      </c>
      <c r="I12" s="6" t="s">
        <v>57</v>
      </c>
      <c r="J12" s="6" t="s">
        <v>17</v>
      </c>
      <c r="K12" s="17" t="s">
        <v>69</v>
      </c>
      <c r="L12" s="37" t="s">
        <v>104</v>
      </c>
      <c r="M12" s="17" t="s">
        <v>76</v>
      </c>
      <c r="N12" s="3">
        <v>99201</v>
      </c>
      <c r="O12" s="18">
        <v>42887</v>
      </c>
      <c r="P12" s="17" t="s">
        <v>78</v>
      </c>
      <c r="Q12" s="37" t="s">
        <v>104</v>
      </c>
      <c r="R12" s="17"/>
      <c r="S12" s="3"/>
      <c r="T12" s="18"/>
      <c r="U12" s="17"/>
      <c r="V12" s="37" t="s">
        <v>105</v>
      </c>
      <c r="W12" s="17" t="s">
        <v>91</v>
      </c>
      <c r="X12" s="17" t="s">
        <v>95</v>
      </c>
      <c r="Y12" s="18">
        <v>42156</v>
      </c>
      <c r="Z12" s="17" t="s">
        <v>78</v>
      </c>
      <c r="AA12" s="37" t="s">
        <v>105</v>
      </c>
      <c r="AB12" s="17"/>
      <c r="AC12" s="16"/>
      <c r="AD12" s="18"/>
      <c r="AE12" s="17"/>
      <c r="AF12" s="37" t="s">
        <v>106</v>
      </c>
      <c r="AG12" s="26"/>
      <c r="AH12" s="26"/>
      <c r="AI12" s="8"/>
      <c r="AJ12" s="8"/>
      <c r="AK12" s="23"/>
      <c r="AL12" s="23"/>
      <c r="AM12" s="27"/>
      <c r="AN12" s="23"/>
      <c r="AO12" s="23"/>
      <c r="AP12" s="37" t="s">
        <v>107</v>
      </c>
      <c r="AQ12" s="23"/>
      <c r="AR12" s="23"/>
      <c r="AS12" s="23"/>
    </row>
    <row r="13" spans="1:48" x14ac:dyDescent="0.2">
      <c r="A13" s="31" t="str">
        <f t="shared" si="0"/>
        <v>Meets NoEncounter</v>
      </c>
      <c r="B13" s="3">
        <v>1</v>
      </c>
      <c r="F13" s="6" t="s">
        <v>1</v>
      </c>
      <c r="G13" s="37" t="s">
        <v>103</v>
      </c>
      <c r="H13" s="18">
        <v>29373</v>
      </c>
      <c r="I13" s="6" t="s">
        <v>14</v>
      </c>
      <c r="J13" s="6" t="s">
        <v>18</v>
      </c>
      <c r="K13" s="17" t="s">
        <v>70</v>
      </c>
      <c r="L13" s="37" t="s">
        <v>104</v>
      </c>
      <c r="M13" s="17"/>
      <c r="P13" s="17"/>
      <c r="Q13" s="37" t="s">
        <v>104</v>
      </c>
      <c r="R13" s="17"/>
      <c r="S13" s="3"/>
      <c r="T13" s="18"/>
      <c r="U13" s="17"/>
      <c r="V13" s="37" t="s">
        <v>105</v>
      </c>
      <c r="W13" s="17" t="s">
        <v>91</v>
      </c>
      <c r="X13" s="17" t="s">
        <v>93</v>
      </c>
      <c r="Y13" s="18">
        <v>42156</v>
      </c>
      <c r="Z13" s="17" t="s">
        <v>78</v>
      </c>
      <c r="AA13" s="37" t="s">
        <v>105</v>
      </c>
      <c r="AB13" s="17"/>
      <c r="AC13" s="16"/>
      <c r="AD13" s="18"/>
      <c r="AE13" s="17"/>
      <c r="AF13" s="37" t="s">
        <v>106</v>
      </c>
      <c r="AG13" s="26"/>
      <c r="AH13" s="26"/>
      <c r="AI13" s="8"/>
      <c r="AJ13" s="8"/>
      <c r="AK13" s="23"/>
      <c r="AL13" s="23"/>
      <c r="AM13" s="27"/>
      <c r="AN13" s="23"/>
      <c r="AO13" s="23"/>
      <c r="AP13" s="37" t="s">
        <v>107</v>
      </c>
      <c r="AQ13" s="23"/>
      <c r="AR13" s="23"/>
      <c r="AS13" s="23"/>
    </row>
    <row r="14" spans="1:48" x14ac:dyDescent="0.2">
      <c r="A14" s="31" t="str">
        <f t="shared" si="0"/>
        <v>Meets PriorEncounter</v>
      </c>
      <c r="B14" s="3">
        <v>1</v>
      </c>
      <c r="F14" s="6" t="s">
        <v>2</v>
      </c>
      <c r="G14" s="37" t="s">
        <v>103</v>
      </c>
      <c r="H14" s="18">
        <v>29373</v>
      </c>
      <c r="I14" s="6" t="s">
        <v>14</v>
      </c>
      <c r="J14" s="6" t="s">
        <v>19</v>
      </c>
      <c r="K14" s="17" t="s">
        <v>70</v>
      </c>
      <c r="L14" s="37" t="s">
        <v>104</v>
      </c>
      <c r="M14" s="17" t="s">
        <v>76</v>
      </c>
      <c r="N14" s="3">
        <v>99202</v>
      </c>
      <c r="O14" s="18">
        <v>42156</v>
      </c>
      <c r="P14" s="17" t="s">
        <v>79</v>
      </c>
      <c r="Q14" s="37" t="s">
        <v>104</v>
      </c>
      <c r="R14" s="17"/>
      <c r="S14" s="3"/>
      <c r="T14" s="18"/>
      <c r="U14" s="17"/>
      <c r="V14" s="37" t="s">
        <v>105</v>
      </c>
      <c r="W14" s="17" t="s">
        <v>91</v>
      </c>
      <c r="X14" s="17" t="s">
        <v>93</v>
      </c>
      <c r="Y14" s="18">
        <v>42156</v>
      </c>
      <c r="Z14" s="17" t="s">
        <v>78</v>
      </c>
      <c r="AA14" s="37" t="s">
        <v>105</v>
      </c>
      <c r="AB14" s="17"/>
      <c r="AC14" s="16"/>
      <c r="AD14" s="18"/>
      <c r="AE14" s="17"/>
      <c r="AF14" s="37" t="s">
        <v>106</v>
      </c>
      <c r="AG14" s="26"/>
      <c r="AH14" s="26"/>
      <c r="AI14" s="8"/>
      <c r="AJ14" s="8"/>
      <c r="AK14" s="23"/>
      <c r="AL14" s="23"/>
      <c r="AM14" s="27"/>
      <c r="AN14" s="23"/>
      <c r="AO14" s="23"/>
      <c r="AP14" s="37" t="s">
        <v>107</v>
      </c>
      <c r="AQ14" s="23"/>
      <c r="AR14" s="23"/>
      <c r="AS14" s="23"/>
    </row>
    <row r="15" spans="1:48" ht="13.5" customHeight="1" x14ac:dyDescent="0.2">
      <c r="A15" s="31" t="str">
        <f t="shared" si="0"/>
        <v>Meets AfterEncounter</v>
      </c>
      <c r="F15" s="6" t="s">
        <v>3</v>
      </c>
      <c r="G15" s="37" t="s">
        <v>103</v>
      </c>
      <c r="H15" s="18">
        <v>29373</v>
      </c>
      <c r="I15" s="6" t="s">
        <v>14</v>
      </c>
      <c r="J15" s="6" t="s">
        <v>20</v>
      </c>
      <c r="K15" s="17" t="s">
        <v>69</v>
      </c>
      <c r="L15" s="37" t="s">
        <v>104</v>
      </c>
      <c r="M15" s="17" t="s">
        <v>76</v>
      </c>
      <c r="N15" s="3">
        <v>99202</v>
      </c>
      <c r="O15" s="18">
        <v>43252</v>
      </c>
      <c r="P15" s="17" t="s">
        <v>78</v>
      </c>
      <c r="Q15" s="37" t="s">
        <v>104</v>
      </c>
      <c r="R15" s="17"/>
      <c r="S15" s="3"/>
      <c r="T15" s="18"/>
      <c r="U15" s="17"/>
      <c r="V15" s="37" t="s">
        <v>105</v>
      </c>
      <c r="W15" s="17" t="s">
        <v>91</v>
      </c>
      <c r="X15" s="17" t="s">
        <v>93</v>
      </c>
      <c r="Y15" s="18">
        <v>42156</v>
      </c>
      <c r="Z15" s="17" t="s">
        <v>78</v>
      </c>
      <c r="AA15" s="37" t="s">
        <v>105</v>
      </c>
      <c r="AB15" s="17"/>
      <c r="AC15" s="16"/>
      <c r="AD15" s="18"/>
      <c r="AE15" s="17"/>
      <c r="AF15" s="37" t="s">
        <v>106</v>
      </c>
      <c r="AG15" s="26"/>
      <c r="AH15" s="26"/>
      <c r="AI15" s="8"/>
      <c r="AJ15" s="8"/>
      <c r="AK15" s="23"/>
      <c r="AL15" s="23"/>
      <c r="AM15" s="27"/>
      <c r="AN15" s="23"/>
      <c r="AO15" s="23"/>
      <c r="AP15" s="37" t="s">
        <v>107</v>
      </c>
      <c r="AQ15" s="23"/>
      <c r="AR15" s="23"/>
      <c r="AS15" s="23"/>
    </row>
    <row r="16" spans="1:48" x14ac:dyDescent="0.2">
      <c r="A16" s="31" t="str">
        <f t="shared" si="0"/>
        <v>ExceptedDueTo Allergy</v>
      </c>
      <c r="D16" s="3" t="s">
        <v>34</v>
      </c>
      <c r="F16" s="44" t="s">
        <v>35</v>
      </c>
      <c r="G16" s="37" t="s">
        <v>103</v>
      </c>
      <c r="H16" s="18">
        <v>27242</v>
      </c>
      <c r="I16" s="6" t="s">
        <v>42</v>
      </c>
      <c r="J16" s="6" t="s">
        <v>43</v>
      </c>
      <c r="K16" s="17" t="s">
        <v>69</v>
      </c>
      <c r="L16" s="37" t="s">
        <v>104</v>
      </c>
      <c r="M16" s="17" t="s">
        <v>76</v>
      </c>
      <c r="N16" s="3">
        <v>99202</v>
      </c>
      <c r="O16" s="18">
        <v>42522</v>
      </c>
      <c r="P16" s="17" t="s">
        <v>78</v>
      </c>
      <c r="Q16" s="37" t="s">
        <v>104</v>
      </c>
      <c r="R16" s="17" t="s">
        <v>76</v>
      </c>
      <c r="S16" s="3" t="s">
        <v>109</v>
      </c>
      <c r="T16" s="18">
        <v>42095</v>
      </c>
      <c r="U16" s="17"/>
      <c r="V16" s="37" t="s">
        <v>105</v>
      </c>
      <c r="W16" s="17" t="s">
        <v>91</v>
      </c>
      <c r="X16" s="17" t="s">
        <v>93</v>
      </c>
      <c r="Y16" s="18">
        <v>42156</v>
      </c>
      <c r="Z16" s="17" t="s">
        <v>78</v>
      </c>
      <c r="AA16" s="37" t="s">
        <v>105</v>
      </c>
      <c r="AB16" s="17"/>
      <c r="AC16" s="16"/>
      <c r="AD16" s="18"/>
      <c r="AE16" s="17"/>
      <c r="AF16" s="37" t="s">
        <v>106</v>
      </c>
      <c r="AG16" s="26"/>
      <c r="AH16" s="26"/>
      <c r="AI16" s="23"/>
      <c r="AJ16" s="23"/>
      <c r="AK16" s="23"/>
      <c r="AL16" s="23"/>
      <c r="AM16" s="27"/>
      <c r="AN16" s="23"/>
      <c r="AO16" s="23"/>
      <c r="AP16" s="37" t="s">
        <v>107</v>
      </c>
      <c r="AQ16" s="23"/>
      <c r="AR16" s="23"/>
      <c r="AS16" s="23"/>
    </row>
    <row r="17" spans="1:45" x14ac:dyDescent="0.2">
      <c r="A17" s="31" t="str">
        <f t="shared" si="0"/>
        <v>ExceptedDueTo Intolerance</v>
      </c>
      <c r="D17" s="3" t="s">
        <v>34</v>
      </c>
      <c r="F17" s="6" t="s">
        <v>36</v>
      </c>
      <c r="G17" s="37" t="s">
        <v>103</v>
      </c>
      <c r="H17" s="18">
        <v>27242</v>
      </c>
      <c r="I17" s="6" t="s">
        <v>42</v>
      </c>
      <c r="J17" s="6" t="s">
        <v>44</v>
      </c>
      <c r="K17" s="17" t="s">
        <v>70</v>
      </c>
      <c r="L17" s="37" t="s">
        <v>104</v>
      </c>
      <c r="M17" s="17" t="s">
        <v>76</v>
      </c>
      <c r="N17" s="3">
        <v>99202</v>
      </c>
      <c r="O17" s="18">
        <v>42522</v>
      </c>
      <c r="P17" s="17" t="s">
        <v>78</v>
      </c>
      <c r="Q17" s="37" t="s">
        <v>104</v>
      </c>
      <c r="R17" s="17" t="s">
        <v>76</v>
      </c>
      <c r="S17" s="3" t="s">
        <v>109</v>
      </c>
      <c r="T17" s="18">
        <v>42095</v>
      </c>
      <c r="U17" s="17"/>
      <c r="V17" s="37" t="s">
        <v>105</v>
      </c>
      <c r="W17" s="17" t="s">
        <v>91</v>
      </c>
      <c r="X17" s="17" t="s">
        <v>93</v>
      </c>
      <c r="Y17" s="18">
        <v>42156</v>
      </c>
      <c r="Z17" s="17" t="s">
        <v>78</v>
      </c>
      <c r="AA17" s="37" t="s">
        <v>105</v>
      </c>
      <c r="AB17" s="17"/>
      <c r="AC17" s="16"/>
      <c r="AD17" s="18"/>
      <c r="AE17" s="17"/>
      <c r="AF17" s="37" t="s">
        <v>106</v>
      </c>
      <c r="AG17" s="26"/>
      <c r="AH17" s="26"/>
      <c r="AI17" s="23"/>
      <c r="AJ17" s="23"/>
      <c r="AK17" s="23"/>
      <c r="AL17" s="23"/>
      <c r="AM17" s="27"/>
      <c r="AN17" s="23"/>
      <c r="AO17" s="23"/>
      <c r="AP17" s="37" t="s">
        <v>107</v>
      </c>
      <c r="AQ17" s="23"/>
      <c r="AR17" s="23"/>
      <c r="AS17" s="23"/>
    </row>
    <row r="18" spans="1:45" x14ac:dyDescent="0.2">
      <c r="A18" s="31" t="str">
        <f t="shared" si="0"/>
        <v>ExceptedDueTo ThieopyridinePrescription</v>
      </c>
      <c r="D18" s="3" t="s">
        <v>34</v>
      </c>
      <c r="F18" s="6" t="s">
        <v>37</v>
      </c>
      <c r="G18" s="37" t="s">
        <v>103</v>
      </c>
      <c r="H18" s="18">
        <v>27242</v>
      </c>
      <c r="I18" s="6" t="s">
        <v>42</v>
      </c>
      <c r="J18" s="6" t="s">
        <v>45</v>
      </c>
      <c r="K18" s="17" t="s">
        <v>71</v>
      </c>
      <c r="L18" s="37" t="s">
        <v>104</v>
      </c>
      <c r="M18" s="17" t="s">
        <v>76</v>
      </c>
      <c r="N18" s="3">
        <v>99202</v>
      </c>
      <c r="O18" s="18">
        <v>42522</v>
      </c>
      <c r="P18" s="17" t="s">
        <v>79</v>
      </c>
      <c r="Q18" s="37" t="s">
        <v>104</v>
      </c>
      <c r="R18" s="17" t="s">
        <v>76</v>
      </c>
      <c r="S18" s="3" t="s">
        <v>109</v>
      </c>
      <c r="T18" s="18">
        <v>42095</v>
      </c>
      <c r="U18" s="17"/>
      <c r="V18" s="37" t="s">
        <v>105</v>
      </c>
      <c r="W18" s="17" t="s">
        <v>91</v>
      </c>
      <c r="X18" s="17" t="s">
        <v>93</v>
      </c>
      <c r="Y18" s="18">
        <v>42156</v>
      </c>
      <c r="Z18" s="17" t="s">
        <v>78</v>
      </c>
      <c r="AA18" s="37" t="s">
        <v>105</v>
      </c>
      <c r="AB18" s="17"/>
      <c r="AC18" s="16"/>
      <c r="AD18" s="18"/>
      <c r="AE18" s="17"/>
      <c r="AF18" s="37" t="s">
        <v>106</v>
      </c>
      <c r="AG18" s="26" t="s">
        <v>96</v>
      </c>
      <c r="AH18" s="22" t="s">
        <v>111</v>
      </c>
      <c r="AI18" s="23">
        <v>10</v>
      </c>
      <c r="AJ18" s="23"/>
      <c r="AK18" s="26" t="s">
        <v>101</v>
      </c>
      <c r="AL18" s="26" t="s">
        <v>100</v>
      </c>
      <c r="AM18" s="27">
        <v>42522</v>
      </c>
      <c r="AN18" s="23"/>
      <c r="AO18" s="23">
        <v>90</v>
      </c>
      <c r="AP18" s="37" t="s">
        <v>107</v>
      </c>
      <c r="AQ18" s="23"/>
      <c r="AR18" s="23"/>
      <c r="AS18" s="23"/>
    </row>
    <row r="19" spans="1:45" x14ac:dyDescent="0.2">
      <c r="A19" s="31" t="str">
        <f t="shared" si="0"/>
        <v>ExceptedDueTo BleedingDisorder</v>
      </c>
      <c r="D19" s="3" t="s">
        <v>34</v>
      </c>
      <c r="F19" s="6" t="s">
        <v>38</v>
      </c>
      <c r="G19" s="37" t="s">
        <v>103</v>
      </c>
      <c r="H19" s="18">
        <v>27242</v>
      </c>
      <c r="I19" s="6" t="s">
        <v>42</v>
      </c>
      <c r="J19" s="6" t="s">
        <v>47</v>
      </c>
      <c r="K19" s="17" t="s">
        <v>69</v>
      </c>
      <c r="L19" s="37" t="s">
        <v>104</v>
      </c>
      <c r="M19" s="17" t="s">
        <v>76</v>
      </c>
      <c r="N19" s="3">
        <v>99202</v>
      </c>
      <c r="O19" s="18">
        <v>42522</v>
      </c>
      <c r="P19" s="17" t="s">
        <v>78</v>
      </c>
      <c r="Q19" s="37" t="s">
        <v>104</v>
      </c>
      <c r="R19" s="17" t="s">
        <v>76</v>
      </c>
      <c r="S19" s="3" t="s">
        <v>109</v>
      </c>
      <c r="T19" s="18">
        <v>42095</v>
      </c>
      <c r="U19" s="17"/>
      <c r="V19" s="37" t="s">
        <v>105</v>
      </c>
      <c r="W19" s="17" t="s">
        <v>91</v>
      </c>
      <c r="X19" s="17" t="s">
        <v>93</v>
      </c>
      <c r="Y19" s="18">
        <v>42156</v>
      </c>
      <c r="Z19" s="17" t="s">
        <v>78</v>
      </c>
      <c r="AA19" s="37" t="s">
        <v>105</v>
      </c>
      <c r="AB19" s="17" t="s">
        <v>91</v>
      </c>
      <c r="AC19" s="32" t="s">
        <v>98</v>
      </c>
      <c r="AD19" s="18">
        <v>40969</v>
      </c>
      <c r="AE19" s="17" t="s">
        <v>78</v>
      </c>
      <c r="AF19" s="37" t="s">
        <v>106</v>
      </c>
      <c r="AG19" s="26"/>
      <c r="AH19" s="26"/>
      <c r="AI19" s="23"/>
      <c r="AJ19" s="23"/>
      <c r="AK19" s="23"/>
      <c r="AL19" s="23"/>
      <c r="AM19" s="27"/>
      <c r="AN19" s="23"/>
      <c r="AO19" s="23"/>
      <c r="AP19" s="37" t="s">
        <v>107</v>
      </c>
      <c r="AQ19" s="23"/>
      <c r="AR19" s="23"/>
      <c r="AS19" s="23"/>
    </row>
    <row r="20" spans="1:45" x14ac:dyDescent="0.2">
      <c r="A20" s="31" t="str">
        <f t="shared" si="0"/>
        <v>ExceptedDueTo NonSpecificMedicalReason</v>
      </c>
      <c r="D20" s="3" t="s">
        <v>34</v>
      </c>
      <c r="F20" s="44" t="s">
        <v>39</v>
      </c>
      <c r="G20" s="37" t="s">
        <v>103</v>
      </c>
      <c r="H20" s="18">
        <v>27242</v>
      </c>
      <c r="I20" s="6" t="s">
        <v>42</v>
      </c>
      <c r="J20" s="6" t="s">
        <v>46</v>
      </c>
      <c r="K20" s="17" t="s">
        <v>70</v>
      </c>
      <c r="L20" s="37" t="s">
        <v>104</v>
      </c>
      <c r="M20" s="17" t="s">
        <v>76</v>
      </c>
      <c r="N20" s="3">
        <v>99202</v>
      </c>
      <c r="O20" s="18">
        <v>42522</v>
      </c>
      <c r="P20" s="17" t="s">
        <v>79</v>
      </c>
      <c r="Q20" s="37" t="s">
        <v>104</v>
      </c>
      <c r="R20" s="17" t="s">
        <v>76</v>
      </c>
      <c r="S20" s="3" t="s">
        <v>109</v>
      </c>
      <c r="T20" s="18">
        <v>42095</v>
      </c>
      <c r="U20" s="17"/>
      <c r="V20" s="37" t="s">
        <v>105</v>
      </c>
      <c r="W20" s="17" t="s">
        <v>91</v>
      </c>
      <c r="X20" s="17" t="s">
        <v>93</v>
      </c>
      <c r="Y20" s="18">
        <v>42156</v>
      </c>
      <c r="Z20" s="17" t="s">
        <v>78</v>
      </c>
      <c r="AA20" s="37" t="s">
        <v>105</v>
      </c>
      <c r="AB20" s="17"/>
      <c r="AC20" s="16"/>
      <c r="AD20" s="18"/>
      <c r="AE20" s="17"/>
      <c r="AF20" s="37" t="s">
        <v>106</v>
      </c>
      <c r="AG20" s="26"/>
      <c r="AH20" s="26"/>
      <c r="AI20" s="23"/>
      <c r="AJ20" s="23"/>
      <c r="AK20" s="23"/>
      <c r="AL20" s="23"/>
      <c r="AM20" s="27"/>
      <c r="AN20" s="23"/>
      <c r="AO20" s="23"/>
      <c r="AP20" s="37" t="s">
        <v>107</v>
      </c>
      <c r="AQ20" s="23"/>
      <c r="AR20" s="23"/>
      <c r="AS20" s="23"/>
    </row>
    <row r="21" spans="1:45" x14ac:dyDescent="0.2">
      <c r="A21" s="31" t="str">
        <f t="shared" si="0"/>
        <v>ExceptedDueTo PatientDeclined</v>
      </c>
      <c r="D21" s="3" t="s">
        <v>40</v>
      </c>
      <c r="F21" s="6" t="s">
        <v>50</v>
      </c>
      <c r="G21" s="37" t="s">
        <v>103</v>
      </c>
      <c r="H21" s="18">
        <v>27242</v>
      </c>
      <c r="I21" s="6" t="s">
        <v>42</v>
      </c>
      <c r="J21" s="6" t="s">
        <v>48</v>
      </c>
      <c r="K21" s="17" t="s">
        <v>70</v>
      </c>
      <c r="L21" s="37" t="s">
        <v>104</v>
      </c>
      <c r="M21" s="17" t="s">
        <v>76</v>
      </c>
      <c r="N21" s="3">
        <v>99202</v>
      </c>
      <c r="O21" s="18">
        <v>42522</v>
      </c>
      <c r="P21" s="17" t="s">
        <v>78</v>
      </c>
      <c r="Q21" s="37" t="s">
        <v>104</v>
      </c>
      <c r="R21" s="17" t="s">
        <v>76</v>
      </c>
      <c r="S21" s="17" t="s">
        <v>110</v>
      </c>
      <c r="T21" s="18">
        <v>42095</v>
      </c>
      <c r="U21" s="17"/>
      <c r="V21" s="37" t="s">
        <v>105</v>
      </c>
      <c r="W21" s="17" t="s">
        <v>91</v>
      </c>
      <c r="X21" s="17" t="s">
        <v>93</v>
      </c>
      <c r="Y21" s="18">
        <v>42156</v>
      </c>
      <c r="Z21" s="17" t="s">
        <v>78</v>
      </c>
      <c r="AA21" s="37" t="s">
        <v>105</v>
      </c>
      <c r="AB21" s="17"/>
      <c r="AC21" s="16"/>
      <c r="AD21" s="18"/>
      <c r="AE21" s="17"/>
      <c r="AF21" s="37" t="s">
        <v>106</v>
      </c>
      <c r="AG21" s="26"/>
      <c r="AH21" s="26"/>
      <c r="AP21" s="37" t="s">
        <v>107</v>
      </c>
    </row>
    <row r="22" spans="1:45" x14ac:dyDescent="0.2">
      <c r="A22" s="31" t="str">
        <f t="shared" si="0"/>
        <v>ExceptedDueTo SystemReason</v>
      </c>
      <c r="D22" s="3" t="s">
        <v>41</v>
      </c>
      <c r="F22" s="6" t="s">
        <v>51</v>
      </c>
      <c r="G22" s="37" t="s">
        <v>103</v>
      </c>
      <c r="H22" s="18">
        <v>27242</v>
      </c>
      <c r="I22" s="6" t="s">
        <v>42</v>
      </c>
      <c r="J22" s="6" t="s">
        <v>49</v>
      </c>
      <c r="K22" s="17" t="s">
        <v>71</v>
      </c>
      <c r="L22" s="37" t="s">
        <v>104</v>
      </c>
      <c r="M22" s="17" t="s">
        <v>76</v>
      </c>
      <c r="N22" s="3">
        <v>99202</v>
      </c>
      <c r="O22" s="18">
        <v>42522</v>
      </c>
      <c r="P22" s="17" t="s">
        <v>78</v>
      </c>
      <c r="Q22" s="37" t="s">
        <v>104</v>
      </c>
      <c r="R22" s="17" t="s">
        <v>76</v>
      </c>
      <c r="S22" s="17" t="s">
        <v>110</v>
      </c>
      <c r="T22" s="18">
        <v>42095</v>
      </c>
      <c r="U22" s="17"/>
      <c r="V22" s="37" t="s">
        <v>105</v>
      </c>
      <c r="W22" s="17" t="s">
        <v>91</v>
      </c>
      <c r="X22" s="17" t="s">
        <v>93</v>
      </c>
      <c r="Y22" s="18">
        <v>42156</v>
      </c>
      <c r="Z22" s="17" t="s">
        <v>78</v>
      </c>
      <c r="AA22" s="37" t="s">
        <v>105</v>
      </c>
      <c r="AB22" s="17"/>
      <c r="AC22" s="16"/>
      <c r="AD22" s="18"/>
      <c r="AE22" s="17"/>
      <c r="AF22" s="37" t="s">
        <v>106</v>
      </c>
      <c r="AG22" s="26"/>
      <c r="AH22" s="26"/>
      <c r="AK22" s="17"/>
      <c r="AL22" s="17"/>
      <c r="AP22" s="37" t="s">
        <v>107</v>
      </c>
    </row>
    <row r="23" spans="1:45" x14ac:dyDescent="0.2">
      <c r="A23" s="31" t="str">
        <f t="shared" si="0"/>
        <v>AspirinPrescription During</v>
      </c>
      <c r="E23" s="3" t="s">
        <v>30</v>
      </c>
      <c r="F23" s="6" t="s">
        <v>25</v>
      </c>
      <c r="G23" s="37" t="s">
        <v>103</v>
      </c>
      <c r="H23" s="18">
        <v>29373</v>
      </c>
      <c r="I23" s="6" t="s">
        <v>23</v>
      </c>
      <c r="J23" s="6" t="s">
        <v>17</v>
      </c>
      <c r="K23" s="17" t="s">
        <v>69</v>
      </c>
      <c r="L23" s="37" t="s">
        <v>104</v>
      </c>
      <c r="M23" s="17" t="s">
        <v>76</v>
      </c>
      <c r="N23" s="3">
        <v>99201</v>
      </c>
      <c r="O23" s="18">
        <v>42522</v>
      </c>
      <c r="P23" s="17" t="s">
        <v>79</v>
      </c>
      <c r="Q23" s="37" t="s">
        <v>104</v>
      </c>
      <c r="R23" s="17"/>
      <c r="S23" s="3"/>
      <c r="T23" s="18"/>
      <c r="U23" s="17"/>
      <c r="V23" s="37" t="s">
        <v>105</v>
      </c>
      <c r="W23" s="17" t="s">
        <v>91</v>
      </c>
      <c r="X23" s="17" t="s">
        <v>97</v>
      </c>
      <c r="Y23" s="18">
        <v>42583</v>
      </c>
      <c r="Z23" s="17" t="s">
        <v>78</v>
      </c>
      <c r="AA23" s="37" t="s">
        <v>105</v>
      </c>
      <c r="AB23" s="17"/>
      <c r="AD23" s="18"/>
      <c r="AE23" s="3"/>
      <c r="AF23" s="37" t="s">
        <v>106</v>
      </c>
      <c r="AG23" s="26" t="s">
        <v>96</v>
      </c>
      <c r="AH23" s="26"/>
      <c r="AI23" s="3">
        <v>650</v>
      </c>
      <c r="AK23" s="17" t="s">
        <v>99</v>
      </c>
      <c r="AL23" s="17" t="s">
        <v>100</v>
      </c>
      <c r="AM23" s="18">
        <v>42522</v>
      </c>
      <c r="AO23" s="3">
        <v>60</v>
      </c>
      <c r="AP23" s="37" t="s">
        <v>107</v>
      </c>
    </row>
    <row r="24" spans="1:45" x14ac:dyDescent="0.2">
      <c r="A24" s="31" t="str">
        <f t="shared" si="0"/>
        <v>AspirinPrescription Prior</v>
      </c>
      <c r="E24" s="3" t="s">
        <v>30</v>
      </c>
      <c r="F24" s="6" t="s">
        <v>26</v>
      </c>
      <c r="G24" s="37" t="s">
        <v>103</v>
      </c>
      <c r="H24" s="18">
        <v>29373</v>
      </c>
      <c r="I24" s="6" t="s">
        <v>23</v>
      </c>
      <c r="J24" s="6" t="s">
        <v>24</v>
      </c>
      <c r="K24" s="17" t="s">
        <v>70</v>
      </c>
      <c r="L24" s="37" t="s">
        <v>104</v>
      </c>
      <c r="M24" s="17" t="s">
        <v>76</v>
      </c>
      <c r="N24" s="3">
        <v>99201</v>
      </c>
      <c r="O24" s="18">
        <v>42522</v>
      </c>
      <c r="P24" s="17" t="s">
        <v>78</v>
      </c>
      <c r="Q24" s="37" t="s">
        <v>104</v>
      </c>
      <c r="R24" s="17"/>
      <c r="S24" s="3"/>
      <c r="T24" s="18"/>
      <c r="U24" s="17"/>
      <c r="V24" s="37" t="s">
        <v>105</v>
      </c>
      <c r="W24" s="17" t="s">
        <v>91</v>
      </c>
      <c r="X24" s="17" t="s">
        <v>93</v>
      </c>
      <c r="Y24" s="18">
        <v>42156</v>
      </c>
      <c r="Z24" s="17" t="s">
        <v>78</v>
      </c>
      <c r="AA24" s="37" t="s">
        <v>105</v>
      </c>
      <c r="AB24" s="17"/>
      <c r="AD24" s="18"/>
      <c r="AE24" s="3"/>
      <c r="AF24" s="37" t="s">
        <v>106</v>
      </c>
      <c r="AG24" s="26" t="s">
        <v>96</v>
      </c>
      <c r="AH24" s="26"/>
      <c r="AI24" s="3">
        <v>75</v>
      </c>
      <c r="AK24" s="17" t="s">
        <v>99</v>
      </c>
      <c r="AL24" s="17" t="s">
        <v>100</v>
      </c>
      <c r="AM24" s="18">
        <v>42522</v>
      </c>
      <c r="AO24" s="3">
        <v>60</v>
      </c>
      <c r="AP24" s="37" t="s">
        <v>107</v>
      </c>
    </row>
    <row r="25" spans="1:45" x14ac:dyDescent="0.2">
      <c r="A25" s="31" t="str">
        <f t="shared" si="0"/>
        <v>ClopidogrelPrescription During</v>
      </c>
      <c r="E25" s="3" t="s">
        <v>30</v>
      </c>
      <c r="F25" s="6" t="s">
        <v>27</v>
      </c>
      <c r="G25" s="37" t="s">
        <v>103</v>
      </c>
      <c r="H25" s="18">
        <v>29373</v>
      </c>
      <c r="I25" s="6" t="s">
        <v>29</v>
      </c>
      <c r="J25" s="6" t="s">
        <v>17</v>
      </c>
      <c r="K25" s="17" t="s">
        <v>70</v>
      </c>
      <c r="L25" s="37" t="s">
        <v>104</v>
      </c>
      <c r="M25" s="17" t="s">
        <v>76</v>
      </c>
      <c r="N25" s="3">
        <v>99201</v>
      </c>
      <c r="O25" s="18">
        <v>42522</v>
      </c>
      <c r="P25" s="17" t="s">
        <v>78</v>
      </c>
      <c r="Q25" s="37" t="s">
        <v>104</v>
      </c>
      <c r="R25" s="17"/>
      <c r="S25" s="3"/>
      <c r="T25" s="18"/>
      <c r="U25" s="17"/>
      <c r="V25" s="37" t="s">
        <v>105</v>
      </c>
      <c r="W25" s="17" t="s">
        <v>91</v>
      </c>
      <c r="X25" s="17" t="s">
        <v>93</v>
      </c>
      <c r="Y25" s="18">
        <v>42156</v>
      </c>
      <c r="Z25" s="17" t="s">
        <v>78</v>
      </c>
      <c r="AA25" s="37" t="s">
        <v>105</v>
      </c>
      <c r="AB25" s="17"/>
      <c r="AD25" s="18"/>
      <c r="AE25" s="3"/>
      <c r="AF25" s="37" t="s">
        <v>106</v>
      </c>
      <c r="AO25" s="3">
        <v>60</v>
      </c>
      <c r="AP25" s="37" t="s">
        <v>107</v>
      </c>
    </row>
    <row r="26" spans="1:45" x14ac:dyDescent="0.2">
      <c r="A26" s="31" t="str">
        <f t="shared" si="0"/>
        <v>ClopidogrelPrescription Prior</v>
      </c>
      <c r="E26" s="3" t="s">
        <v>30</v>
      </c>
      <c r="F26" s="6" t="s">
        <v>28</v>
      </c>
      <c r="G26" s="37" t="s">
        <v>103</v>
      </c>
      <c r="H26" s="18">
        <v>29373</v>
      </c>
      <c r="I26" s="6" t="s">
        <v>29</v>
      </c>
      <c r="J26" s="6" t="s">
        <v>24</v>
      </c>
      <c r="K26" s="17" t="s">
        <v>69</v>
      </c>
      <c r="L26" s="37" t="s">
        <v>104</v>
      </c>
      <c r="M26" s="17" t="s">
        <v>76</v>
      </c>
      <c r="N26" s="3">
        <v>99201</v>
      </c>
      <c r="O26" s="18">
        <v>42522</v>
      </c>
      <c r="P26" s="17" t="s">
        <v>79</v>
      </c>
      <c r="Q26" s="37" t="s">
        <v>104</v>
      </c>
      <c r="R26" s="17"/>
      <c r="S26" s="3"/>
      <c r="T26" s="18"/>
      <c r="U26" s="17"/>
      <c r="V26" s="37" t="s">
        <v>105</v>
      </c>
      <c r="W26" s="17" t="s">
        <v>91</v>
      </c>
      <c r="X26" s="17" t="s">
        <v>97</v>
      </c>
      <c r="Y26" s="18">
        <v>42583</v>
      </c>
      <c r="Z26" s="17" t="s">
        <v>78</v>
      </c>
      <c r="AA26" s="37" t="s">
        <v>105</v>
      </c>
      <c r="AB26" s="17"/>
      <c r="AD26" s="18"/>
      <c r="AE26" s="3"/>
      <c r="AF26" s="37" t="s">
        <v>106</v>
      </c>
      <c r="AG26" s="26" t="s">
        <v>96</v>
      </c>
      <c r="AH26" s="26"/>
      <c r="AI26" s="3">
        <v>75</v>
      </c>
      <c r="AK26" s="17" t="s">
        <v>99</v>
      </c>
      <c r="AL26" s="17" t="s">
        <v>100</v>
      </c>
      <c r="AM26" s="18">
        <v>42522</v>
      </c>
      <c r="AO26" s="3">
        <v>60</v>
      </c>
      <c r="AP26" s="37" t="s">
        <v>107</v>
      </c>
    </row>
    <row r="27" spans="1:45" x14ac:dyDescent="0.2">
      <c r="A27" s="31" t="str">
        <f t="shared" si="0"/>
        <v>MeetsNumerator 4086F</v>
      </c>
      <c r="E27" s="3" t="s">
        <v>30</v>
      </c>
      <c r="F27" s="6" t="s">
        <v>31</v>
      </c>
      <c r="G27" s="37" t="s">
        <v>103</v>
      </c>
      <c r="H27" s="18">
        <v>29373</v>
      </c>
      <c r="I27" s="6" t="s">
        <v>32</v>
      </c>
      <c r="J27" s="6" t="s">
        <v>30</v>
      </c>
      <c r="K27" s="17" t="s">
        <v>70</v>
      </c>
      <c r="L27" s="37" t="s">
        <v>104</v>
      </c>
      <c r="M27" s="17" t="s">
        <v>76</v>
      </c>
      <c r="N27" s="3">
        <v>99201</v>
      </c>
      <c r="O27" s="18">
        <v>42522</v>
      </c>
      <c r="P27" s="17" t="s">
        <v>79</v>
      </c>
      <c r="Q27" s="37" t="s">
        <v>104</v>
      </c>
      <c r="R27" s="17" t="s">
        <v>76</v>
      </c>
      <c r="S27" s="17" t="s">
        <v>30</v>
      </c>
      <c r="T27" s="18"/>
      <c r="U27" s="17" t="s">
        <v>79</v>
      </c>
      <c r="V27" s="37" t="s">
        <v>105</v>
      </c>
      <c r="W27" s="17" t="s">
        <v>91</v>
      </c>
      <c r="X27" s="17" t="s">
        <v>97</v>
      </c>
      <c r="Y27" s="18">
        <v>42583</v>
      </c>
      <c r="Z27" s="17" t="s">
        <v>78</v>
      </c>
      <c r="AA27" s="37" t="s">
        <v>105</v>
      </c>
      <c r="AB27" s="17"/>
      <c r="AD27" s="18"/>
      <c r="AE27" s="3"/>
      <c r="AF27" s="37" t="s">
        <v>106</v>
      </c>
      <c r="AG27" s="26" t="s">
        <v>96</v>
      </c>
      <c r="AH27" s="26"/>
      <c r="AI27" s="3">
        <v>650</v>
      </c>
      <c r="AK27" s="17" t="s">
        <v>99</v>
      </c>
      <c r="AL27" s="17" t="s">
        <v>100</v>
      </c>
      <c r="AM27" s="18">
        <v>42522</v>
      </c>
      <c r="AO27" s="3">
        <v>60</v>
      </c>
      <c r="AP27" s="37" t="s">
        <v>107</v>
      </c>
    </row>
    <row r="28" spans="1:45" x14ac:dyDescent="0.2">
      <c r="A28" s="31" t="str">
        <f t="shared" si="0"/>
        <v>NotMeetNumerator 4086F-8P</v>
      </c>
      <c r="E28" s="3" t="s">
        <v>52</v>
      </c>
      <c r="F28" s="6" t="s">
        <v>31</v>
      </c>
      <c r="G28" s="37" t="s">
        <v>103</v>
      </c>
      <c r="H28" s="18">
        <v>27242</v>
      </c>
      <c r="I28" s="6" t="s">
        <v>53</v>
      </c>
      <c r="J28" s="6" t="s">
        <v>52</v>
      </c>
      <c r="K28" s="17" t="s">
        <v>70</v>
      </c>
      <c r="L28" s="37" t="s">
        <v>104</v>
      </c>
      <c r="M28" s="17" t="s">
        <v>76</v>
      </c>
      <c r="N28" s="3">
        <v>99202</v>
      </c>
      <c r="O28" s="18">
        <v>42522</v>
      </c>
      <c r="P28" s="17" t="s">
        <v>78</v>
      </c>
      <c r="Q28" s="37" t="s">
        <v>104</v>
      </c>
      <c r="R28" s="17" t="s">
        <v>76</v>
      </c>
      <c r="S28" s="17" t="s">
        <v>30</v>
      </c>
      <c r="T28" s="18"/>
      <c r="U28" s="17" t="s">
        <v>79</v>
      </c>
      <c r="V28" s="37" t="s">
        <v>105</v>
      </c>
      <c r="W28" s="17" t="s">
        <v>91</v>
      </c>
      <c r="X28" s="17" t="s">
        <v>97</v>
      </c>
      <c r="Y28" s="18">
        <v>42583</v>
      </c>
      <c r="Z28" s="17" t="s">
        <v>78</v>
      </c>
      <c r="AA28" s="37" t="s">
        <v>105</v>
      </c>
      <c r="AB28" s="17"/>
      <c r="AD28" s="18"/>
      <c r="AE28" s="3"/>
      <c r="AF28" s="37" t="s">
        <v>106</v>
      </c>
      <c r="AG28" s="26"/>
      <c r="AH28" s="26"/>
      <c r="AP28" s="37" t="s">
        <v>107</v>
      </c>
    </row>
    <row r="29" spans="1:45" x14ac:dyDescent="0.2">
      <c r="G29" s="37" t="s">
        <v>103</v>
      </c>
      <c r="L29" s="37" t="s">
        <v>104</v>
      </c>
      <c r="N29" s="6"/>
      <c r="O29" s="6"/>
      <c r="P29" s="6"/>
      <c r="Q29" s="37" t="s">
        <v>104</v>
      </c>
      <c r="T29" s="6"/>
      <c r="U29" s="3"/>
      <c r="V29" s="37" t="s">
        <v>105</v>
      </c>
      <c r="X29" s="17"/>
      <c r="Y29" s="6"/>
      <c r="Z29" s="6"/>
      <c r="AA29" s="37" t="s">
        <v>105</v>
      </c>
      <c r="AB29" s="6"/>
      <c r="AC29" s="16" t="s">
        <v>105</v>
      </c>
      <c r="AE29" s="3"/>
      <c r="AF29" s="37" t="s">
        <v>106</v>
      </c>
      <c r="AG29" s="18"/>
      <c r="AH29" s="18"/>
      <c r="AP29" s="37" t="s">
        <v>107</v>
      </c>
    </row>
    <row r="30" spans="1:45" x14ac:dyDescent="0.2">
      <c r="G30" s="37" t="s">
        <v>103</v>
      </c>
      <c r="L30" s="37" t="s">
        <v>104</v>
      </c>
      <c r="Q30" s="37" t="s">
        <v>104</v>
      </c>
      <c r="V30" s="37" t="s">
        <v>105</v>
      </c>
      <c r="AA30" s="37" t="s">
        <v>105</v>
      </c>
      <c r="AD30" s="18"/>
      <c r="AE30" s="3"/>
      <c r="AF30" s="37" t="s">
        <v>106</v>
      </c>
      <c r="AG30" s="26"/>
      <c r="AH30" s="26"/>
      <c r="AP30" s="37" t="s">
        <v>107</v>
      </c>
    </row>
    <row r="31" spans="1:45" x14ac:dyDescent="0.2">
      <c r="G31" s="37" t="s">
        <v>103</v>
      </c>
      <c r="L31" s="37" t="s">
        <v>104</v>
      </c>
      <c r="Q31" s="37" t="s">
        <v>104</v>
      </c>
      <c r="V31" s="37" t="s">
        <v>105</v>
      </c>
      <c r="W31" s="17"/>
      <c r="AA31" s="37" t="s">
        <v>105</v>
      </c>
      <c r="AD31" s="18"/>
      <c r="AE31" s="3"/>
      <c r="AF31" s="37" t="s">
        <v>106</v>
      </c>
      <c r="AG31" s="26"/>
      <c r="AH31" s="26"/>
      <c r="AP31" s="37" t="s">
        <v>107</v>
      </c>
    </row>
    <row r="32" spans="1:45" x14ac:dyDescent="0.2">
      <c r="G32" s="37" t="s">
        <v>103</v>
      </c>
      <c r="L32" s="37" t="s">
        <v>104</v>
      </c>
      <c r="Q32" s="37" t="s">
        <v>104</v>
      </c>
      <c r="V32" s="37" t="s">
        <v>105</v>
      </c>
      <c r="AA32" s="37" t="s">
        <v>105</v>
      </c>
      <c r="AD32" s="18"/>
      <c r="AE32" s="3"/>
      <c r="AF32" s="37" t="s">
        <v>106</v>
      </c>
      <c r="AG32" s="26"/>
      <c r="AH32" s="26"/>
      <c r="AP32" s="37" t="s">
        <v>107</v>
      </c>
    </row>
    <row r="33" spans="2:46" x14ac:dyDescent="0.2">
      <c r="G33" s="37" t="s">
        <v>103</v>
      </c>
      <c r="L33" s="37" t="s">
        <v>104</v>
      </c>
      <c r="Q33" s="37" t="s">
        <v>104</v>
      </c>
      <c r="V33" s="37" t="s">
        <v>105</v>
      </c>
      <c r="AA33" s="37" t="s">
        <v>105</v>
      </c>
      <c r="AD33" s="18"/>
      <c r="AE33" s="3"/>
      <c r="AF33" s="37" t="s">
        <v>106</v>
      </c>
      <c r="AG33" s="26"/>
      <c r="AH33" s="26"/>
      <c r="AP33" s="37" t="s">
        <v>107</v>
      </c>
    </row>
    <row r="34" spans="2:46" x14ac:dyDescent="0.2">
      <c r="G34" s="37" t="s">
        <v>103</v>
      </c>
      <c r="L34" s="37" t="s">
        <v>104</v>
      </c>
      <c r="Q34" s="37" t="s">
        <v>104</v>
      </c>
      <c r="V34" s="37" t="s">
        <v>105</v>
      </c>
      <c r="AA34" s="37" t="s">
        <v>105</v>
      </c>
      <c r="AD34" s="18"/>
      <c r="AE34" s="3"/>
      <c r="AF34" s="37" t="s">
        <v>106</v>
      </c>
      <c r="AG34" s="26"/>
      <c r="AH34" s="26"/>
      <c r="AP34" s="37" t="s">
        <v>107</v>
      </c>
    </row>
    <row r="35" spans="2:46" x14ac:dyDescent="0.2">
      <c r="G35" s="37" t="s">
        <v>103</v>
      </c>
      <c r="L35" s="37" t="s">
        <v>104</v>
      </c>
      <c r="Q35" s="37" t="s">
        <v>104</v>
      </c>
      <c r="V35" s="37" t="s">
        <v>105</v>
      </c>
      <c r="AA35" s="37" t="s">
        <v>105</v>
      </c>
      <c r="AD35" s="18"/>
      <c r="AE35" s="3"/>
      <c r="AF35" s="37" t="s">
        <v>106</v>
      </c>
      <c r="AG35" s="26"/>
      <c r="AH35" s="26"/>
      <c r="AP35" s="37" t="s">
        <v>107</v>
      </c>
    </row>
    <row r="36" spans="2:46" x14ac:dyDescent="0.2">
      <c r="G36" s="37" t="s">
        <v>103</v>
      </c>
      <c r="L36" s="37" t="s">
        <v>104</v>
      </c>
      <c r="Q36" s="37" t="s">
        <v>104</v>
      </c>
      <c r="V36" s="37" t="s">
        <v>105</v>
      </c>
      <c r="AA36" s="37" t="s">
        <v>105</v>
      </c>
      <c r="AD36" s="18"/>
      <c r="AE36" s="3"/>
      <c r="AF36" s="37" t="s">
        <v>106</v>
      </c>
      <c r="AG36" s="26"/>
      <c r="AH36" s="26"/>
      <c r="AP36" s="37" t="s">
        <v>107</v>
      </c>
    </row>
    <row r="37" spans="2:46" x14ac:dyDescent="0.2">
      <c r="G37" s="37" t="s">
        <v>103</v>
      </c>
      <c r="L37" s="37" t="s">
        <v>104</v>
      </c>
      <c r="Q37" s="37" t="s">
        <v>104</v>
      </c>
      <c r="V37" s="37" t="s">
        <v>105</v>
      </c>
      <c r="AA37" s="37" t="s">
        <v>105</v>
      </c>
      <c r="AD37" s="18"/>
      <c r="AE37" s="3"/>
      <c r="AF37" s="37" t="s">
        <v>106</v>
      </c>
      <c r="AG37" s="26"/>
      <c r="AH37" s="26"/>
      <c r="AP37" s="37" t="s">
        <v>107</v>
      </c>
    </row>
    <row r="38" spans="2:46" x14ac:dyDescent="0.2">
      <c r="G38" s="37" t="s">
        <v>103</v>
      </c>
      <c r="L38" s="37" t="s">
        <v>104</v>
      </c>
      <c r="Q38" s="37" t="s">
        <v>104</v>
      </c>
      <c r="V38" s="37" t="s">
        <v>105</v>
      </c>
      <c r="AA38" s="37" t="s">
        <v>105</v>
      </c>
      <c r="AD38" s="18"/>
      <c r="AE38" s="3"/>
      <c r="AF38" s="37" t="s">
        <v>106</v>
      </c>
      <c r="AG38" s="26"/>
      <c r="AH38" s="26"/>
      <c r="AP38" s="37" t="s">
        <v>107</v>
      </c>
    </row>
    <row r="39" spans="2:46" x14ac:dyDescent="0.2">
      <c r="G39" s="37" t="s">
        <v>103</v>
      </c>
      <c r="L39" s="37" t="s">
        <v>104</v>
      </c>
      <c r="Q39" s="37" t="s">
        <v>104</v>
      </c>
      <c r="V39" s="37" t="s">
        <v>105</v>
      </c>
      <c r="AA39" s="37" t="s">
        <v>105</v>
      </c>
      <c r="AD39" s="18"/>
      <c r="AE39" s="3"/>
      <c r="AF39" s="37" t="s">
        <v>106</v>
      </c>
      <c r="AG39" s="26"/>
      <c r="AH39" s="26"/>
      <c r="AP39" s="37" t="s">
        <v>107</v>
      </c>
    </row>
    <row r="40" spans="2:46" x14ac:dyDescent="0.2">
      <c r="G40" s="37" t="s">
        <v>103</v>
      </c>
      <c r="L40" s="37" t="s">
        <v>104</v>
      </c>
      <c r="Q40" s="37" t="s">
        <v>104</v>
      </c>
      <c r="V40" s="37" t="s">
        <v>105</v>
      </c>
      <c r="AA40" s="37" t="s">
        <v>105</v>
      </c>
      <c r="AD40" s="18"/>
      <c r="AE40" s="3"/>
      <c r="AF40" s="37" t="s">
        <v>106</v>
      </c>
      <c r="AG40" s="26"/>
      <c r="AH40" s="26"/>
      <c r="AP40" s="37" t="s">
        <v>107</v>
      </c>
    </row>
    <row r="41" spans="2:46" x14ac:dyDescent="0.2">
      <c r="G41" s="37" t="s">
        <v>103</v>
      </c>
      <c r="L41" s="37" t="s">
        <v>104</v>
      </c>
      <c r="Q41" s="37" t="s">
        <v>104</v>
      </c>
      <c r="V41" s="37" t="s">
        <v>105</v>
      </c>
      <c r="AA41" s="37" t="s">
        <v>105</v>
      </c>
      <c r="AD41" s="18"/>
      <c r="AE41" s="3"/>
      <c r="AF41" s="37" t="s">
        <v>106</v>
      </c>
      <c r="AG41" s="26"/>
      <c r="AH41" s="26"/>
      <c r="AP41" s="37" t="s">
        <v>107</v>
      </c>
    </row>
    <row r="42" spans="2:46" s="13" customFormat="1" x14ac:dyDescent="0.2">
      <c r="B42" s="15"/>
      <c r="C42" s="15"/>
      <c r="D42" s="15"/>
      <c r="E42" s="15"/>
      <c r="G42" s="38" t="s">
        <v>103</v>
      </c>
      <c r="H42" s="20"/>
      <c r="K42" s="15"/>
      <c r="L42" s="38" t="s">
        <v>104</v>
      </c>
      <c r="M42" s="15"/>
      <c r="N42" s="15"/>
      <c r="O42" s="20"/>
      <c r="P42" s="15"/>
      <c r="Q42" s="38" t="s">
        <v>104</v>
      </c>
      <c r="T42" s="33"/>
      <c r="V42" s="38" t="s">
        <v>105</v>
      </c>
      <c r="W42" s="15"/>
      <c r="X42" s="15"/>
      <c r="Y42" s="20"/>
      <c r="Z42" s="15"/>
      <c r="AA42" s="38" t="s">
        <v>105</v>
      </c>
      <c r="AB42" s="15"/>
      <c r="AC42" s="15"/>
      <c r="AD42" s="20"/>
      <c r="AE42" s="15"/>
      <c r="AF42" s="38" t="s">
        <v>106</v>
      </c>
      <c r="AG42" s="28"/>
      <c r="AH42" s="28"/>
      <c r="AI42" s="15"/>
      <c r="AJ42" s="15"/>
      <c r="AK42" s="15"/>
      <c r="AL42" s="15"/>
      <c r="AM42" s="20"/>
      <c r="AN42" s="15"/>
      <c r="AO42" s="15"/>
      <c r="AP42" s="38" t="s">
        <v>107</v>
      </c>
      <c r="AQ42" s="15"/>
      <c r="AR42" s="15"/>
      <c r="AS42" s="15"/>
      <c r="AT42" s="20"/>
    </row>
    <row r="43" spans="2:46" x14ac:dyDescent="0.2">
      <c r="G43" s="37" t="s">
        <v>103</v>
      </c>
      <c r="L43" s="37" t="s">
        <v>104</v>
      </c>
      <c r="Q43" s="37" t="s">
        <v>104</v>
      </c>
      <c r="V43" s="37" t="s">
        <v>105</v>
      </c>
      <c r="AA43" s="37" t="s">
        <v>105</v>
      </c>
      <c r="AD43" s="18"/>
      <c r="AE43" s="3"/>
      <c r="AF43" s="37" t="s">
        <v>106</v>
      </c>
      <c r="AG43" s="26"/>
      <c r="AH43" s="26"/>
      <c r="AP43" s="37" t="s">
        <v>107</v>
      </c>
    </row>
    <row r="44" spans="2:46" x14ac:dyDescent="0.2">
      <c r="G44" s="37" t="s">
        <v>103</v>
      </c>
      <c r="L44" s="37" t="s">
        <v>104</v>
      </c>
      <c r="Q44" s="37" t="s">
        <v>104</v>
      </c>
      <c r="V44" s="37" t="s">
        <v>105</v>
      </c>
      <c r="AA44" s="37" t="s">
        <v>105</v>
      </c>
      <c r="AD44" s="18"/>
      <c r="AE44" s="3"/>
      <c r="AF44" s="37" t="s">
        <v>106</v>
      </c>
      <c r="AG44" s="26"/>
      <c r="AH44" s="26"/>
      <c r="AP44" s="37" t="s">
        <v>107</v>
      </c>
    </row>
    <row r="45" spans="2:46" x14ac:dyDescent="0.2">
      <c r="G45" s="37" t="s">
        <v>103</v>
      </c>
      <c r="L45" s="37" t="s">
        <v>104</v>
      </c>
      <c r="Q45" s="37" t="s">
        <v>104</v>
      </c>
      <c r="V45" s="37" t="s">
        <v>105</v>
      </c>
      <c r="AA45" s="37" t="s">
        <v>105</v>
      </c>
      <c r="AD45" s="18"/>
      <c r="AE45" s="3"/>
      <c r="AF45" s="37" t="s">
        <v>106</v>
      </c>
      <c r="AG45" s="26"/>
      <c r="AH45" s="26"/>
      <c r="AP45" s="37" t="s">
        <v>107</v>
      </c>
    </row>
    <row r="46" spans="2:46" x14ac:dyDescent="0.2">
      <c r="G46" s="37" t="s">
        <v>103</v>
      </c>
      <c r="L46" s="37" t="s">
        <v>104</v>
      </c>
      <c r="Q46" s="37" t="s">
        <v>104</v>
      </c>
      <c r="V46" s="37" t="s">
        <v>105</v>
      </c>
      <c r="AA46" s="37" t="s">
        <v>105</v>
      </c>
      <c r="AD46" s="18"/>
      <c r="AE46" s="3"/>
      <c r="AF46" s="37" t="s">
        <v>106</v>
      </c>
      <c r="AG46" s="26"/>
      <c r="AH46" s="26"/>
      <c r="AP46" s="37" t="s">
        <v>107</v>
      </c>
    </row>
    <row r="47" spans="2:46" x14ac:dyDescent="0.2">
      <c r="G47" s="37" t="s">
        <v>103</v>
      </c>
      <c r="L47" s="37" t="s">
        <v>104</v>
      </c>
      <c r="Q47" s="37" t="s">
        <v>104</v>
      </c>
      <c r="V47" s="37" t="s">
        <v>105</v>
      </c>
      <c r="AA47" s="37" t="s">
        <v>105</v>
      </c>
      <c r="AD47" s="18"/>
      <c r="AE47" s="3"/>
      <c r="AF47" s="37" t="s">
        <v>106</v>
      </c>
      <c r="AG47" s="26"/>
      <c r="AH47" s="26"/>
      <c r="AP47" s="37" t="s">
        <v>107</v>
      </c>
    </row>
    <row r="48" spans="2:46" x14ac:dyDescent="0.2">
      <c r="G48" s="37" t="s">
        <v>103</v>
      </c>
      <c r="L48" s="37" t="s">
        <v>104</v>
      </c>
      <c r="Q48" s="37" t="s">
        <v>104</v>
      </c>
      <c r="V48" s="37" t="s">
        <v>105</v>
      </c>
      <c r="AA48" s="37" t="s">
        <v>105</v>
      </c>
      <c r="AD48" s="18"/>
      <c r="AE48" s="3"/>
      <c r="AF48" s="37" t="s">
        <v>106</v>
      </c>
      <c r="AG48" s="26"/>
      <c r="AH48" s="26"/>
      <c r="AP48" s="37" t="s">
        <v>107</v>
      </c>
    </row>
    <row r="49" spans="7:42" x14ac:dyDescent="0.2">
      <c r="G49" s="37" t="s">
        <v>103</v>
      </c>
      <c r="L49" s="37" t="s">
        <v>104</v>
      </c>
      <c r="Q49" s="37" t="s">
        <v>104</v>
      </c>
      <c r="V49" s="37" t="s">
        <v>105</v>
      </c>
      <c r="AA49" s="37" t="s">
        <v>105</v>
      </c>
      <c r="AD49" s="18"/>
      <c r="AE49" s="3"/>
      <c r="AF49" s="37" t="s">
        <v>106</v>
      </c>
      <c r="AG49" s="26"/>
      <c r="AH49" s="26"/>
      <c r="AP49" s="37" t="s">
        <v>107</v>
      </c>
    </row>
    <row r="50" spans="7:42" x14ac:dyDescent="0.2">
      <c r="G50" s="37" t="s">
        <v>103</v>
      </c>
      <c r="L50" s="37" t="s">
        <v>104</v>
      </c>
      <c r="Q50" s="37" t="s">
        <v>104</v>
      </c>
      <c r="V50" s="37" t="s">
        <v>105</v>
      </c>
      <c r="AA50" s="37" t="s">
        <v>105</v>
      </c>
      <c r="AD50" s="18"/>
      <c r="AE50" s="3"/>
      <c r="AF50" s="37" t="s">
        <v>106</v>
      </c>
      <c r="AG50" s="26"/>
      <c r="AH50" s="26"/>
      <c r="AP50" s="37" t="s">
        <v>107</v>
      </c>
    </row>
    <row r="51" spans="7:42" x14ac:dyDescent="0.2">
      <c r="G51" s="37" t="s">
        <v>103</v>
      </c>
      <c r="L51" s="37" t="s">
        <v>104</v>
      </c>
      <c r="Q51" s="37" t="s">
        <v>104</v>
      </c>
      <c r="V51" s="37" t="s">
        <v>105</v>
      </c>
      <c r="AA51" s="37" t="s">
        <v>105</v>
      </c>
      <c r="AD51" s="18"/>
      <c r="AE51" s="3"/>
      <c r="AF51" s="37" t="s">
        <v>106</v>
      </c>
      <c r="AG51" s="26"/>
      <c r="AH51" s="26"/>
      <c r="AP51" s="37" t="s">
        <v>107</v>
      </c>
    </row>
    <row r="52" spans="7:42" x14ac:dyDescent="0.2">
      <c r="G52" s="37" t="s">
        <v>103</v>
      </c>
      <c r="L52" s="37" t="s">
        <v>104</v>
      </c>
      <c r="Q52" s="37" t="s">
        <v>104</v>
      </c>
      <c r="V52" s="37" t="s">
        <v>105</v>
      </c>
      <c r="AA52" s="37" t="s">
        <v>105</v>
      </c>
      <c r="AD52" s="18"/>
      <c r="AE52" s="3"/>
      <c r="AF52" s="37" t="s">
        <v>106</v>
      </c>
      <c r="AG52" s="26"/>
      <c r="AH52" s="26"/>
      <c r="AP52" s="37" t="s">
        <v>107</v>
      </c>
    </row>
    <row r="53" spans="7:42" x14ac:dyDescent="0.2">
      <c r="G53" s="37" t="s">
        <v>103</v>
      </c>
      <c r="L53" s="37" t="s">
        <v>104</v>
      </c>
      <c r="Q53" s="37" t="s">
        <v>104</v>
      </c>
      <c r="V53" s="37" t="s">
        <v>105</v>
      </c>
      <c r="AA53" s="37" t="s">
        <v>105</v>
      </c>
      <c r="AD53" s="18"/>
      <c r="AE53" s="3"/>
      <c r="AF53" s="37" t="s">
        <v>106</v>
      </c>
      <c r="AG53" s="26"/>
      <c r="AH53" s="26"/>
      <c r="AP53" s="37" t="s">
        <v>107</v>
      </c>
    </row>
    <row r="54" spans="7:42" x14ac:dyDescent="0.2">
      <c r="G54" s="37" t="s">
        <v>103</v>
      </c>
      <c r="L54" s="37" t="s">
        <v>104</v>
      </c>
      <c r="Q54" s="37" t="s">
        <v>104</v>
      </c>
      <c r="V54" s="37" t="s">
        <v>105</v>
      </c>
      <c r="AA54" s="37" t="s">
        <v>105</v>
      </c>
      <c r="AD54" s="18"/>
      <c r="AE54" s="3"/>
      <c r="AF54" s="37" t="s">
        <v>106</v>
      </c>
      <c r="AG54" s="26"/>
      <c r="AH54" s="26"/>
      <c r="AP54" s="37" t="s">
        <v>107</v>
      </c>
    </row>
    <row r="55" spans="7:42" x14ac:dyDescent="0.2">
      <c r="G55" s="37" t="s">
        <v>103</v>
      </c>
      <c r="L55" s="37" t="s">
        <v>104</v>
      </c>
      <c r="Q55" s="37" t="s">
        <v>104</v>
      </c>
      <c r="V55" s="37" t="s">
        <v>105</v>
      </c>
      <c r="AA55" s="37" t="s">
        <v>105</v>
      </c>
      <c r="AD55" s="18"/>
      <c r="AE55" s="3"/>
      <c r="AF55" s="37" t="s">
        <v>106</v>
      </c>
      <c r="AG55" s="26"/>
      <c r="AH55" s="26"/>
      <c r="AP55" s="37" t="s">
        <v>107</v>
      </c>
    </row>
    <row r="56" spans="7:42" x14ac:dyDescent="0.2">
      <c r="G56" s="37" t="s">
        <v>103</v>
      </c>
      <c r="L56" s="37" t="s">
        <v>104</v>
      </c>
      <c r="Q56" s="37" t="s">
        <v>104</v>
      </c>
      <c r="V56" s="37" t="s">
        <v>105</v>
      </c>
      <c r="AA56" s="37" t="s">
        <v>105</v>
      </c>
      <c r="AD56" s="18"/>
      <c r="AE56" s="3"/>
      <c r="AF56" s="37" t="s">
        <v>106</v>
      </c>
      <c r="AG56" s="26"/>
      <c r="AH56" s="26"/>
      <c r="AP56" s="37" t="s">
        <v>107</v>
      </c>
    </row>
    <row r="57" spans="7:42" x14ac:dyDescent="0.2">
      <c r="G57" s="37" t="s">
        <v>103</v>
      </c>
      <c r="L57" s="37" t="s">
        <v>104</v>
      </c>
      <c r="Q57" s="37" t="s">
        <v>104</v>
      </c>
      <c r="V57" s="37" t="s">
        <v>105</v>
      </c>
      <c r="AA57" s="37" t="s">
        <v>105</v>
      </c>
      <c r="AD57" s="18"/>
      <c r="AE57" s="3"/>
      <c r="AF57" s="37" t="s">
        <v>106</v>
      </c>
      <c r="AG57" s="26"/>
      <c r="AH57" s="26"/>
      <c r="AP57" s="37" t="s">
        <v>107</v>
      </c>
    </row>
    <row r="58" spans="7:42" x14ac:dyDescent="0.2">
      <c r="G58" s="37" t="s">
        <v>103</v>
      </c>
      <c r="L58" s="37" t="s">
        <v>104</v>
      </c>
      <c r="Q58" s="37" t="s">
        <v>104</v>
      </c>
      <c r="V58" s="37" t="s">
        <v>105</v>
      </c>
      <c r="AA58" s="37" t="s">
        <v>105</v>
      </c>
      <c r="AD58" s="18"/>
      <c r="AE58" s="3"/>
      <c r="AF58" s="37" t="s">
        <v>106</v>
      </c>
      <c r="AG58" s="26"/>
      <c r="AH58" s="26"/>
      <c r="AP58" s="37" t="s">
        <v>107</v>
      </c>
    </row>
    <row r="59" spans="7:42" x14ac:dyDescent="0.2">
      <c r="G59" s="37" t="s">
        <v>103</v>
      </c>
      <c r="L59" s="37" t="s">
        <v>104</v>
      </c>
      <c r="Q59" s="37" t="s">
        <v>104</v>
      </c>
      <c r="V59" s="37" t="s">
        <v>105</v>
      </c>
      <c r="AA59" s="37" t="s">
        <v>105</v>
      </c>
      <c r="AD59" s="18"/>
      <c r="AE59" s="3"/>
      <c r="AF59" s="37" t="s">
        <v>106</v>
      </c>
      <c r="AG59" s="26"/>
      <c r="AH59" s="26"/>
      <c r="AP59" s="37" t="s">
        <v>107</v>
      </c>
    </row>
    <row r="60" spans="7:42" x14ac:dyDescent="0.2">
      <c r="G60" s="37" t="s">
        <v>103</v>
      </c>
      <c r="L60" s="37" t="s">
        <v>104</v>
      </c>
      <c r="Q60" s="37" t="s">
        <v>104</v>
      </c>
      <c r="V60" s="37" t="s">
        <v>105</v>
      </c>
      <c r="AA60" s="37" t="s">
        <v>105</v>
      </c>
      <c r="AD60" s="18"/>
      <c r="AE60" s="3"/>
      <c r="AF60" s="37" t="s">
        <v>106</v>
      </c>
      <c r="AG60" s="26"/>
      <c r="AH60" s="26"/>
      <c r="AP60" s="37" t="s">
        <v>107</v>
      </c>
    </row>
    <row r="61" spans="7:42" x14ac:dyDescent="0.2">
      <c r="G61" s="37" t="s">
        <v>103</v>
      </c>
      <c r="L61" s="37" t="s">
        <v>104</v>
      </c>
      <c r="Q61" s="37" t="s">
        <v>104</v>
      </c>
      <c r="V61" s="37" t="s">
        <v>105</v>
      </c>
      <c r="AA61" s="37" t="s">
        <v>105</v>
      </c>
      <c r="AD61" s="18"/>
      <c r="AE61" s="3"/>
      <c r="AF61" s="37" t="s">
        <v>106</v>
      </c>
      <c r="AG61" s="26"/>
      <c r="AH61" s="26"/>
      <c r="AP61" s="37" t="s">
        <v>107</v>
      </c>
    </row>
    <row r="62" spans="7:42" x14ac:dyDescent="0.2">
      <c r="G62" s="37" t="s">
        <v>103</v>
      </c>
      <c r="L62" s="37" t="s">
        <v>104</v>
      </c>
      <c r="Q62" s="37" t="s">
        <v>104</v>
      </c>
      <c r="V62" s="37" t="s">
        <v>105</v>
      </c>
      <c r="AA62" s="37" t="s">
        <v>105</v>
      </c>
      <c r="AD62" s="18"/>
      <c r="AE62" s="3"/>
      <c r="AF62" s="37" t="s">
        <v>106</v>
      </c>
      <c r="AG62" s="26"/>
      <c r="AH62" s="26"/>
      <c r="AP62" s="37" t="s">
        <v>107</v>
      </c>
    </row>
    <row r="63" spans="7:42" x14ac:dyDescent="0.2">
      <c r="G63" s="37" t="s">
        <v>103</v>
      </c>
      <c r="L63" s="37" t="s">
        <v>104</v>
      </c>
      <c r="Q63" s="37" t="s">
        <v>104</v>
      </c>
      <c r="V63" s="37" t="s">
        <v>105</v>
      </c>
      <c r="AA63" s="37" t="s">
        <v>105</v>
      </c>
      <c r="AD63" s="18"/>
      <c r="AE63" s="3"/>
      <c r="AF63" s="37" t="s">
        <v>106</v>
      </c>
      <c r="AG63" s="26"/>
      <c r="AH63" s="26"/>
      <c r="AP63" s="37" t="s">
        <v>107</v>
      </c>
    </row>
    <row r="64" spans="7:42" x14ac:dyDescent="0.2">
      <c r="G64" s="37" t="s">
        <v>103</v>
      </c>
      <c r="L64" s="37" t="s">
        <v>104</v>
      </c>
      <c r="Q64" s="37" t="s">
        <v>104</v>
      </c>
      <c r="V64" s="37" t="s">
        <v>105</v>
      </c>
      <c r="AA64" s="37" t="s">
        <v>105</v>
      </c>
      <c r="AD64" s="18"/>
      <c r="AE64" s="3"/>
      <c r="AF64" s="37" t="s">
        <v>106</v>
      </c>
      <c r="AG64" s="26"/>
      <c r="AH64" s="26"/>
      <c r="AP64" s="37" t="s">
        <v>107</v>
      </c>
    </row>
    <row r="65" spans="7:42" x14ac:dyDescent="0.2">
      <c r="G65" s="37" t="s">
        <v>103</v>
      </c>
      <c r="L65" s="37" t="s">
        <v>104</v>
      </c>
      <c r="Q65" s="37" t="s">
        <v>104</v>
      </c>
      <c r="V65" s="37" t="s">
        <v>105</v>
      </c>
      <c r="AA65" s="37" t="s">
        <v>105</v>
      </c>
      <c r="AD65" s="18"/>
      <c r="AE65" s="3"/>
      <c r="AF65" s="37" t="s">
        <v>106</v>
      </c>
      <c r="AG65" s="26"/>
      <c r="AH65" s="26"/>
      <c r="AP65" s="37" t="s">
        <v>107</v>
      </c>
    </row>
    <row r="66" spans="7:42" x14ac:dyDescent="0.2">
      <c r="G66" s="37" t="s">
        <v>103</v>
      </c>
      <c r="L66" s="37" t="s">
        <v>104</v>
      </c>
      <c r="Q66" s="37" t="s">
        <v>104</v>
      </c>
      <c r="V66" s="37" t="s">
        <v>105</v>
      </c>
      <c r="AA66" s="37" t="s">
        <v>105</v>
      </c>
      <c r="AD66" s="18"/>
      <c r="AE66" s="3"/>
      <c r="AF66" s="37" t="s">
        <v>106</v>
      </c>
      <c r="AG66" s="26"/>
      <c r="AH66" s="26"/>
      <c r="AP66" s="37" t="s">
        <v>107</v>
      </c>
    </row>
    <row r="67" spans="7:42" x14ac:dyDescent="0.2">
      <c r="G67" s="37" t="s">
        <v>103</v>
      </c>
      <c r="L67" s="37" t="s">
        <v>104</v>
      </c>
      <c r="Q67" s="37" t="s">
        <v>104</v>
      </c>
      <c r="V67" s="37" t="s">
        <v>105</v>
      </c>
      <c r="AA67" s="37" t="s">
        <v>105</v>
      </c>
      <c r="AD67" s="18"/>
      <c r="AE67" s="3"/>
      <c r="AF67" s="37" t="s">
        <v>106</v>
      </c>
      <c r="AG67" s="26"/>
      <c r="AH67" s="26"/>
      <c r="AP67" s="37" t="s">
        <v>107</v>
      </c>
    </row>
    <row r="68" spans="7:42" x14ac:dyDescent="0.2">
      <c r="G68" s="37" t="s">
        <v>103</v>
      </c>
      <c r="L68" s="37" t="s">
        <v>104</v>
      </c>
      <c r="Q68" s="37" t="s">
        <v>104</v>
      </c>
      <c r="V68" s="37" t="s">
        <v>105</v>
      </c>
      <c r="AA68" s="37" t="s">
        <v>105</v>
      </c>
      <c r="AD68" s="18"/>
      <c r="AE68" s="3"/>
      <c r="AF68" s="37" t="s">
        <v>106</v>
      </c>
      <c r="AG68" s="26"/>
      <c r="AH68" s="26"/>
      <c r="AP68" s="37" t="s">
        <v>107</v>
      </c>
    </row>
    <row r="69" spans="7:42" x14ac:dyDescent="0.2">
      <c r="G69" s="37" t="s">
        <v>103</v>
      </c>
      <c r="L69" s="37" t="s">
        <v>104</v>
      </c>
      <c r="Q69" s="37" t="s">
        <v>104</v>
      </c>
      <c r="V69" s="37" t="s">
        <v>105</v>
      </c>
      <c r="AA69" s="37" t="s">
        <v>105</v>
      </c>
      <c r="AD69" s="18"/>
      <c r="AE69" s="3"/>
      <c r="AF69" s="37" t="s">
        <v>106</v>
      </c>
      <c r="AG69" s="26"/>
      <c r="AH69" s="26"/>
      <c r="AP69" s="37" t="s">
        <v>107</v>
      </c>
    </row>
    <row r="70" spans="7:42" x14ac:dyDescent="0.2">
      <c r="G70" s="37" t="s">
        <v>103</v>
      </c>
      <c r="L70" s="37" t="s">
        <v>104</v>
      </c>
      <c r="Q70" s="37" t="s">
        <v>104</v>
      </c>
      <c r="V70" s="37" t="s">
        <v>105</v>
      </c>
      <c r="AA70" s="37" t="s">
        <v>105</v>
      </c>
      <c r="AD70" s="18"/>
      <c r="AE70" s="3"/>
      <c r="AF70" s="37" t="s">
        <v>106</v>
      </c>
      <c r="AG70" s="26"/>
      <c r="AH70" s="26"/>
      <c r="AP70" s="37" t="s">
        <v>107</v>
      </c>
    </row>
    <row r="71" spans="7:42" x14ac:dyDescent="0.2">
      <c r="G71" s="37" t="s">
        <v>103</v>
      </c>
      <c r="L71" s="37" t="s">
        <v>104</v>
      </c>
      <c r="Q71" s="37" t="s">
        <v>104</v>
      </c>
      <c r="V71" s="37" t="s">
        <v>105</v>
      </c>
      <c r="AA71" s="37" t="s">
        <v>105</v>
      </c>
      <c r="AD71" s="18"/>
      <c r="AE71" s="3"/>
      <c r="AF71" s="37" t="s">
        <v>106</v>
      </c>
      <c r="AG71" s="26"/>
      <c r="AH71" s="26"/>
      <c r="AP71" s="37" t="s">
        <v>107</v>
      </c>
    </row>
    <row r="72" spans="7:42" x14ac:dyDescent="0.2">
      <c r="G72" s="37" t="s">
        <v>103</v>
      </c>
      <c r="L72" s="37" t="s">
        <v>104</v>
      </c>
      <c r="Q72" s="37" t="s">
        <v>104</v>
      </c>
      <c r="V72" s="37" t="s">
        <v>105</v>
      </c>
      <c r="AA72" s="37" t="s">
        <v>105</v>
      </c>
      <c r="AD72" s="18"/>
      <c r="AE72" s="3"/>
      <c r="AF72" s="37" t="s">
        <v>106</v>
      </c>
      <c r="AG72" s="26"/>
      <c r="AH72" s="26"/>
      <c r="AP72" s="37" t="s">
        <v>107</v>
      </c>
    </row>
    <row r="73" spans="7:42" x14ac:dyDescent="0.2">
      <c r="G73" s="37" t="s">
        <v>103</v>
      </c>
      <c r="L73" s="37" t="s">
        <v>104</v>
      </c>
      <c r="Q73" s="37" t="s">
        <v>104</v>
      </c>
      <c r="V73" s="37" t="s">
        <v>105</v>
      </c>
      <c r="AA73" s="37" t="s">
        <v>105</v>
      </c>
      <c r="AD73" s="18"/>
      <c r="AE73" s="3"/>
      <c r="AF73" s="37" t="s">
        <v>106</v>
      </c>
      <c r="AG73" s="26"/>
      <c r="AH73" s="26"/>
      <c r="AP73" s="37" t="s">
        <v>107</v>
      </c>
    </row>
    <row r="74" spans="7:42" x14ac:dyDescent="0.2">
      <c r="G74" s="37" t="s">
        <v>103</v>
      </c>
      <c r="L74" s="37" t="s">
        <v>104</v>
      </c>
      <c r="Q74" s="37" t="s">
        <v>104</v>
      </c>
      <c r="V74" s="37" t="s">
        <v>105</v>
      </c>
      <c r="AA74" s="37" t="s">
        <v>105</v>
      </c>
      <c r="AD74" s="18"/>
      <c r="AE74" s="3"/>
      <c r="AF74" s="37" t="s">
        <v>106</v>
      </c>
      <c r="AG74" s="26"/>
      <c r="AH74" s="26"/>
      <c r="AP74" s="37" t="s">
        <v>107</v>
      </c>
    </row>
    <row r="75" spans="7:42" x14ac:dyDescent="0.2">
      <c r="G75" s="37" t="s">
        <v>103</v>
      </c>
      <c r="L75" s="37" t="s">
        <v>104</v>
      </c>
      <c r="Q75" s="37" t="s">
        <v>104</v>
      </c>
      <c r="V75" s="37" t="s">
        <v>105</v>
      </c>
      <c r="AA75" s="37" t="s">
        <v>105</v>
      </c>
      <c r="AD75" s="18"/>
      <c r="AE75" s="3"/>
      <c r="AF75" s="37" t="s">
        <v>106</v>
      </c>
      <c r="AG75" s="26"/>
      <c r="AH75" s="26"/>
      <c r="AP75" s="37" t="s">
        <v>107</v>
      </c>
    </row>
    <row r="76" spans="7:42" x14ac:dyDescent="0.2">
      <c r="G76" s="37" t="s">
        <v>103</v>
      </c>
      <c r="L76" s="37" t="s">
        <v>104</v>
      </c>
      <c r="Q76" s="37" t="s">
        <v>104</v>
      </c>
      <c r="V76" s="37" t="s">
        <v>105</v>
      </c>
      <c r="AA76" s="37" t="s">
        <v>105</v>
      </c>
      <c r="AD76" s="18"/>
      <c r="AE76" s="3"/>
      <c r="AF76" s="37" t="s">
        <v>106</v>
      </c>
      <c r="AG76" s="26"/>
      <c r="AH76" s="26"/>
      <c r="AP76" s="37" t="s">
        <v>107</v>
      </c>
    </row>
    <row r="77" spans="7:42" x14ac:dyDescent="0.2">
      <c r="G77" s="37" t="s">
        <v>103</v>
      </c>
      <c r="L77" s="37" t="s">
        <v>104</v>
      </c>
      <c r="Q77" s="37" t="s">
        <v>104</v>
      </c>
      <c r="V77" s="37" t="s">
        <v>105</v>
      </c>
      <c r="AA77" s="37" t="s">
        <v>105</v>
      </c>
      <c r="AD77" s="18"/>
      <c r="AE77" s="3"/>
      <c r="AF77" s="37" t="s">
        <v>106</v>
      </c>
      <c r="AG77" s="26"/>
      <c r="AH77" s="26"/>
      <c r="AP77" s="37" t="s">
        <v>107</v>
      </c>
    </row>
    <row r="78" spans="7:42" x14ac:dyDescent="0.2">
      <c r="G78" s="37" t="s">
        <v>103</v>
      </c>
      <c r="L78" s="37" t="s">
        <v>104</v>
      </c>
      <c r="Q78" s="37" t="s">
        <v>104</v>
      </c>
      <c r="V78" s="37" t="s">
        <v>105</v>
      </c>
      <c r="AA78" s="37" t="s">
        <v>105</v>
      </c>
      <c r="AD78" s="18"/>
      <c r="AE78" s="3"/>
      <c r="AF78" s="37" t="s">
        <v>106</v>
      </c>
      <c r="AG78" s="26"/>
      <c r="AH78" s="26"/>
      <c r="AP78" s="37" t="s">
        <v>107</v>
      </c>
    </row>
    <row r="79" spans="7:42" x14ac:dyDescent="0.2">
      <c r="G79" s="37" t="s">
        <v>103</v>
      </c>
      <c r="L79" s="37" t="s">
        <v>104</v>
      </c>
      <c r="Q79" s="37" t="s">
        <v>104</v>
      </c>
      <c r="V79" s="37" t="s">
        <v>105</v>
      </c>
      <c r="AA79" s="37" t="s">
        <v>105</v>
      </c>
      <c r="AD79" s="18"/>
      <c r="AE79" s="3"/>
      <c r="AF79" s="37" t="s">
        <v>106</v>
      </c>
      <c r="AG79" s="26"/>
      <c r="AH79" s="26"/>
      <c r="AP79" s="37" t="s">
        <v>107</v>
      </c>
    </row>
    <row r="80" spans="7:42" x14ac:dyDescent="0.2">
      <c r="G80" s="37" t="s">
        <v>103</v>
      </c>
      <c r="L80" s="37" t="s">
        <v>104</v>
      </c>
      <c r="Q80" s="37" t="s">
        <v>104</v>
      </c>
      <c r="V80" s="37" t="s">
        <v>105</v>
      </c>
      <c r="AA80" s="37" t="s">
        <v>105</v>
      </c>
      <c r="AD80" s="18"/>
      <c r="AE80" s="3"/>
      <c r="AF80" s="37" t="s">
        <v>106</v>
      </c>
      <c r="AG80" s="26"/>
      <c r="AH80" s="26"/>
      <c r="AP80" s="37" t="s">
        <v>107</v>
      </c>
    </row>
    <row r="81" spans="7:42" x14ac:dyDescent="0.2">
      <c r="G81" s="37" t="s">
        <v>103</v>
      </c>
      <c r="L81" s="37" t="s">
        <v>104</v>
      </c>
      <c r="Q81" s="37" t="s">
        <v>104</v>
      </c>
      <c r="V81" s="37" t="s">
        <v>105</v>
      </c>
      <c r="AA81" s="37" t="s">
        <v>105</v>
      </c>
      <c r="AD81" s="18"/>
      <c r="AE81" s="3"/>
      <c r="AF81" s="37" t="s">
        <v>106</v>
      </c>
      <c r="AG81" s="26"/>
      <c r="AH81" s="26"/>
      <c r="AP81" s="37" t="s">
        <v>107</v>
      </c>
    </row>
    <row r="82" spans="7:42" x14ac:dyDescent="0.2">
      <c r="G82" s="37" t="s">
        <v>103</v>
      </c>
      <c r="L82" s="37" t="s">
        <v>104</v>
      </c>
      <c r="Q82" s="37" t="s">
        <v>104</v>
      </c>
      <c r="V82" s="37" t="s">
        <v>105</v>
      </c>
      <c r="AA82" s="37" t="s">
        <v>105</v>
      </c>
      <c r="AD82" s="18"/>
      <c r="AE82" s="3"/>
      <c r="AF82" s="37" t="s">
        <v>106</v>
      </c>
      <c r="AG82" s="26"/>
      <c r="AH82" s="26"/>
      <c r="AP82" s="37" t="s">
        <v>107</v>
      </c>
    </row>
    <row r="83" spans="7:42" x14ac:dyDescent="0.2">
      <c r="G83" s="37" t="s">
        <v>103</v>
      </c>
      <c r="L83" s="37" t="s">
        <v>104</v>
      </c>
      <c r="Q83" s="37" t="s">
        <v>104</v>
      </c>
      <c r="V83" s="37" t="s">
        <v>105</v>
      </c>
      <c r="AA83" s="37" t="s">
        <v>105</v>
      </c>
      <c r="AD83" s="18"/>
      <c r="AE83" s="3"/>
      <c r="AF83" s="37" t="s">
        <v>106</v>
      </c>
      <c r="AG83" s="26"/>
      <c r="AH83" s="26"/>
      <c r="AP83" s="37" t="s">
        <v>107</v>
      </c>
    </row>
    <row r="84" spans="7:42" x14ac:dyDescent="0.2">
      <c r="G84" s="37" t="s">
        <v>103</v>
      </c>
      <c r="L84" s="37" t="s">
        <v>104</v>
      </c>
      <c r="Q84" s="37" t="s">
        <v>104</v>
      </c>
      <c r="V84" s="37" t="s">
        <v>105</v>
      </c>
      <c r="AA84" s="37" t="s">
        <v>105</v>
      </c>
      <c r="AD84" s="18"/>
      <c r="AE84" s="3"/>
      <c r="AF84" s="37" t="s">
        <v>106</v>
      </c>
      <c r="AG84" s="26"/>
      <c r="AH84" s="26"/>
      <c r="AP84" s="37" t="s">
        <v>107</v>
      </c>
    </row>
    <row r="85" spans="7:42" x14ac:dyDescent="0.2">
      <c r="G85" s="37" t="s">
        <v>103</v>
      </c>
      <c r="L85" s="37" t="s">
        <v>104</v>
      </c>
      <c r="Q85" s="37" t="s">
        <v>104</v>
      </c>
      <c r="V85" s="37" t="s">
        <v>105</v>
      </c>
      <c r="AA85" s="37" t="s">
        <v>105</v>
      </c>
      <c r="AD85" s="18"/>
      <c r="AE85" s="3"/>
      <c r="AF85" s="37" t="s">
        <v>106</v>
      </c>
      <c r="AG85" s="26"/>
      <c r="AH85" s="26"/>
      <c r="AP85" s="37" t="s">
        <v>107</v>
      </c>
    </row>
    <row r="86" spans="7:42" x14ac:dyDescent="0.2">
      <c r="G86" s="37" t="s">
        <v>103</v>
      </c>
      <c r="L86" s="37" t="s">
        <v>104</v>
      </c>
      <c r="Q86" s="37" t="s">
        <v>104</v>
      </c>
      <c r="V86" s="37" t="s">
        <v>105</v>
      </c>
      <c r="AA86" s="37" t="s">
        <v>105</v>
      </c>
      <c r="AD86" s="18"/>
      <c r="AE86" s="3"/>
      <c r="AF86" s="37" t="s">
        <v>106</v>
      </c>
      <c r="AG86" s="26"/>
      <c r="AH86" s="26"/>
      <c r="AP86" s="37" t="s">
        <v>107</v>
      </c>
    </row>
    <row r="87" spans="7:42" x14ac:dyDescent="0.2">
      <c r="G87" s="37" t="s">
        <v>103</v>
      </c>
      <c r="L87" s="37" t="s">
        <v>104</v>
      </c>
      <c r="Q87" s="37" t="s">
        <v>104</v>
      </c>
      <c r="V87" s="37" t="s">
        <v>105</v>
      </c>
      <c r="AA87" s="37" t="s">
        <v>105</v>
      </c>
      <c r="AD87" s="18"/>
      <c r="AE87" s="3"/>
      <c r="AF87" s="37" t="s">
        <v>106</v>
      </c>
      <c r="AG87" s="26"/>
      <c r="AH87" s="26"/>
      <c r="AP87" s="37" t="s">
        <v>107</v>
      </c>
    </row>
    <row r="88" spans="7:42" x14ac:dyDescent="0.2">
      <c r="G88" s="37" t="s">
        <v>103</v>
      </c>
      <c r="L88" s="37" t="s">
        <v>104</v>
      </c>
      <c r="Q88" s="37" t="s">
        <v>104</v>
      </c>
      <c r="V88" s="37" t="s">
        <v>105</v>
      </c>
      <c r="AA88" s="37" t="s">
        <v>105</v>
      </c>
      <c r="AD88" s="18"/>
      <c r="AE88" s="3"/>
      <c r="AF88" s="37" t="s">
        <v>106</v>
      </c>
      <c r="AG88" s="26"/>
      <c r="AH88" s="26"/>
      <c r="AP88" s="37" t="s">
        <v>107</v>
      </c>
    </row>
    <row r="89" spans="7:42" x14ac:dyDescent="0.2">
      <c r="G89" s="37" t="s">
        <v>103</v>
      </c>
      <c r="L89" s="37" t="s">
        <v>104</v>
      </c>
      <c r="Q89" s="37" t="s">
        <v>104</v>
      </c>
      <c r="V89" s="37" t="s">
        <v>105</v>
      </c>
      <c r="AA89" s="37" t="s">
        <v>105</v>
      </c>
      <c r="AD89" s="18"/>
      <c r="AE89" s="3"/>
      <c r="AF89" s="37" t="s">
        <v>106</v>
      </c>
      <c r="AG89" s="26"/>
      <c r="AH89" s="26"/>
      <c r="AP89" s="37" t="s">
        <v>107</v>
      </c>
    </row>
    <row r="90" spans="7:42" x14ac:dyDescent="0.2">
      <c r="G90" s="37" t="s">
        <v>103</v>
      </c>
      <c r="L90" s="37" t="s">
        <v>104</v>
      </c>
      <c r="Q90" s="37" t="s">
        <v>104</v>
      </c>
      <c r="V90" s="37" t="s">
        <v>105</v>
      </c>
      <c r="AA90" s="37" t="s">
        <v>105</v>
      </c>
      <c r="AD90" s="18"/>
      <c r="AE90" s="3"/>
      <c r="AF90" s="37" t="s">
        <v>106</v>
      </c>
      <c r="AG90" s="26"/>
      <c r="AH90" s="26"/>
      <c r="AP90" s="37" t="s">
        <v>107</v>
      </c>
    </row>
    <row r="91" spans="7:42" x14ac:dyDescent="0.2">
      <c r="G91" s="37" t="s">
        <v>103</v>
      </c>
      <c r="L91" s="37" t="s">
        <v>104</v>
      </c>
      <c r="Q91" s="37" t="s">
        <v>104</v>
      </c>
      <c r="V91" s="37" t="s">
        <v>105</v>
      </c>
      <c r="AA91" s="37" t="s">
        <v>105</v>
      </c>
      <c r="AD91" s="18"/>
      <c r="AE91" s="3"/>
      <c r="AF91" s="37" t="s">
        <v>106</v>
      </c>
      <c r="AG91" s="26"/>
      <c r="AH91" s="26"/>
      <c r="AP91" s="37" t="s">
        <v>107</v>
      </c>
    </row>
    <row r="92" spans="7:42" x14ac:dyDescent="0.2">
      <c r="G92" s="37" t="s">
        <v>103</v>
      </c>
      <c r="L92" s="37" t="s">
        <v>104</v>
      </c>
      <c r="Q92" s="37" t="s">
        <v>104</v>
      </c>
      <c r="V92" s="37" t="s">
        <v>105</v>
      </c>
      <c r="AA92" s="37" t="s">
        <v>105</v>
      </c>
      <c r="AD92" s="18"/>
      <c r="AE92" s="3"/>
      <c r="AF92" s="37" t="s">
        <v>106</v>
      </c>
      <c r="AG92" s="26"/>
      <c r="AH92" s="26"/>
      <c r="AP92" s="37" t="s">
        <v>107</v>
      </c>
    </row>
    <row r="93" spans="7:42" x14ac:dyDescent="0.2">
      <c r="G93" s="37" t="s">
        <v>103</v>
      </c>
      <c r="L93" s="37" t="s">
        <v>104</v>
      </c>
      <c r="Q93" s="37" t="s">
        <v>104</v>
      </c>
      <c r="V93" s="37" t="s">
        <v>105</v>
      </c>
      <c r="AA93" s="37" t="s">
        <v>105</v>
      </c>
      <c r="AD93" s="18"/>
      <c r="AE93" s="3"/>
      <c r="AF93" s="37" t="s">
        <v>106</v>
      </c>
      <c r="AG93" s="26"/>
      <c r="AH93" s="26"/>
      <c r="AP93" s="37" t="s">
        <v>107</v>
      </c>
    </row>
    <row r="94" spans="7:42" x14ac:dyDescent="0.2">
      <c r="G94" s="37" t="s">
        <v>103</v>
      </c>
      <c r="L94" s="37" t="s">
        <v>104</v>
      </c>
      <c r="Q94" s="37" t="s">
        <v>104</v>
      </c>
      <c r="V94" s="37" t="s">
        <v>105</v>
      </c>
      <c r="AA94" s="37" t="s">
        <v>105</v>
      </c>
      <c r="AD94" s="18"/>
      <c r="AE94" s="3"/>
      <c r="AF94" s="37" t="s">
        <v>106</v>
      </c>
      <c r="AG94" s="26"/>
      <c r="AH94" s="26"/>
      <c r="AP94" s="37" t="s">
        <v>107</v>
      </c>
    </row>
    <row r="95" spans="7:42" x14ac:dyDescent="0.2">
      <c r="G95" s="37" t="s">
        <v>103</v>
      </c>
      <c r="L95" s="37" t="s">
        <v>104</v>
      </c>
      <c r="Q95" s="37" t="s">
        <v>104</v>
      </c>
      <c r="V95" s="37" t="s">
        <v>105</v>
      </c>
      <c r="AA95" s="37" t="s">
        <v>105</v>
      </c>
      <c r="AD95" s="18"/>
      <c r="AE95" s="3"/>
      <c r="AF95" s="37" t="s">
        <v>106</v>
      </c>
      <c r="AG95" s="26"/>
      <c r="AH95" s="26"/>
      <c r="AP95" s="37" t="s">
        <v>107</v>
      </c>
    </row>
    <row r="96" spans="7:42" x14ac:dyDescent="0.2">
      <c r="G96" s="37" t="s">
        <v>103</v>
      </c>
      <c r="L96" s="37" t="s">
        <v>104</v>
      </c>
      <c r="Q96" s="37" t="s">
        <v>104</v>
      </c>
      <c r="V96" s="37" t="s">
        <v>105</v>
      </c>
      <c r="AA96" s="37" t="s">
        <v>105</v>
      </c>
      <c r="AD96" s="18"/>
      <c r="AE96" s="3"/>
      <c r="AF96" s="37" t="s">
        <v>106</v>
      </c>
      <c r="AG96" s="26"/>
      <c r="AH96" s="26"/>
      <c r="AP96" s="37" t="s">
        <v>107</v>
      </c>
    </row>
    <row r="97" spans="7:42" x14ac:dyDescent="0.2">
      <c r="G97" s="37" t="s">
        <v>103</v>
      </c>
      <c r="L97" s="37" t="s">
        <v>104</v>
      </c>
      <c r="Q97" s="37" t="s">
        <v>104</v>
      </c>
      <c r="V97" s="37" t="s">
        <v>105</v>
      </c>
      <c r="AA97" s="37" t="s">
        <v>105</v>
      </c>
      <c r="AD97" s="18"/>
      <c r="AE97" s="3"/>
      <c r="AF97" s="37" t="s">
        <v>106</v>
      </c>
      <c r="AG97" s="26"/>
      <c r="AH97" s="26"/>
      <c r="AP97" s="37" t="s">
        <v>107</v>
      </c>
    </row>
    <row r="98" spans="7:42" x14ac:dyDescent="0.2">
      <c r="G98" s="37" t="s">
        <v>103</v>
      </c>
      <c r="L98" s="37" t="s">
        <v>104</v>
      </c>
      <c r="Q98" s="37" t="s">
        <v>104</v>
      </c>
      <c r="V98" s="37" t="s">
        <v>105</v>
      </c>
      <c r="AA98" s="37" t="s">
        <v>105</v>
      </c>
      <c r="AD98" s="18"/>
      <c r="AE98" s="3"/>
      <c r="AF98" s="37" t="s">
        <v>106</v>
      </c>
      <c r="AG98" s="26"/>
      <c r="AH98" s="26"/>
      <c r="AP98" s="37" t="s">
        <v>107</v>
      </c>
    </row>
    <row r="99" spans="7:42" x14ac:dyDescent="0.2">
      <c r="G99" s="37" t="s">
        <v>103</v>
      </c>
      <c r="L99" s="37" t="s">
        <v>104</v>
      </c>
      <c r="Q99" s="37" t="s">
        <v>104</v>
      </c>
      <c r="V99" s="37" t="s">
        <v>105</v>
      </c>
      <c r="AA99" s="37" t="s">
        <v>105</v>
      </c>
      <c r="AD99" s="18"/>
      <c r="AE99" s="3"/>
      <c r="AF99" s="37" t="s">
        <v>106</v>
      </c>
      <c r="AG99" s="26"/>
      <c r="AH99" s="26"/>
      <c r="AP99" s="37" t="s">
        <v>107</v>
      </c>
    </row>
    <row r="100" spans="7:42" x14ac:dyDescent="0.2">
      <c r="G100" s="37"/>
      <c r="L100" s="37" t="s">
        <v>104</v>
      </c>
      <c r="Q100" s="37" t="s">
        <v>104</v>
      </c>
      <c r="V100" s="37" t="s">
        <v>105</v>
      </c>
      <c r="AA100" s="37" t="s">
        <v>105</v>
      </c>
      <c r="AD100" s="18"/>
      <c r="AE100" s="3"/>
      <c r="AF100" s="37" t="s">
        <v>106</v>
      </c>
      <c r="AG100" s="26"/>
      <c r="AH100" s="26"/>
      <c r="AP100" s="37" t="s">
        <v>107</v>
      </c>
    </row>
    <row r="101" spans="7:42" x14ac:dyDescent="0.2">
      <c r="G101" s="37"/>
      <c r="L101" s="37"/>
      <c r="Q101" s="37"/>
      <c r="V101" s="37"/>
      <c r="AA101" s="37"/>
      <c r="AD101" s="18"/>
      <c r="AE101" s="3"/>
      <c r="AF101" s="37"/>
      <c r="AG101" s="26"/>
      <c r="AH101" s="26"/>
      <c r="AP101" s="37"/>
    </row>
    <row r="102" spans="7:42" x14ac:dyDescent="0.2">
      <c r="G102" s="37"/>
      <c r="L102" s="37"/>
      <c r="Q102" s="37"/>
      <c r="V102" s="37"/>
      <c r="AA102" s="37"/>
      <c r="AD102" s="18"/>
      <c r="AE102" s="3"/>
      <c r="AF102" s="37"/>
      <c r="AG102" s="26"/>
      <c r="AH102" s="26"/>
      <c r="AP102" s="37"/>
    </row>
    <row r="103" spans="7:42" x14ac:dyDescent="0.2">
      <c r="G103" s="37"/>
      <c r="L103" s="37"/>
      <c r="Q103" s="37"/>
      <c r="V103" s="37"/>
      <c r="AA103" s="37"/>
      <c r="AD103" s="18"/>
      <c r="AE103" s="3"/>
      <c r="AF103" s="37"/>
      <c r="AG103" s="26"/>
      <c r="AH103" s="26"/>
      <c r="AP103" s="37"/>
    </row>
    <row r="104" spans="7:42" x14ac:dyDescent="0.2">
      <c r="AD104" s="18"/>
      <c r="AE104" s="3"/>
      <c r="AG104" s="26"/>
      <c r="AH104" s="26"/>
    </row>
    <row r="105" spans="7:42" x14ac:dyDescent="0.2">
      <c r="AD105" s="18"/>
      <c r="AE105" s="3"/>
      <c r="AG105" s="26"/>
      <c r="AH105" s="26"/>
    </row>
    <row r="106" spans="7:42" x14ac:dyDescent="0.2">
      <c r="AD106" s="18"/>
      <c r="AE106" s="3"/>
      <c r="AG106" s="26"/>
      <c r="AH106" s="26"/>
    </row>
    <row r="107" spans="7:42" x14ac:dyDescent="0.2">
      <c r="AD107" s="18"/>
      <c r="AE107" s="3"/>
      <c r="AG107" s="26"/>
      <c r="AH107" s="26"/>
    </row>
    <row r="108" spans="7:42" x14ac:dyDescent="0.2">
      <c r="AD108" s="18"/>
      <c r="AE108" s="3"/>
      <c r="AG108" s="26"/>
      <c r="AH108" s="26"/>
    </row>
    <row r="109" spans="7:42" x14ac:dyDescent="0.2">
      <c r="AD109" s="18"/>
      <c r="AE109" s="3"/>
      <c r="AG109" s="26"/>
      <c r="AH109" s="26"/>
    </row>
    <row r="110" spans="7:42" x14ac:dyDescent="0.2">
      <c r="AD110" s="18"/>
      <c r="AE110" s="3"/>
      <c r="AG110" s="26"/>
      <c r="AH110" s="26"/>
    </row>
    <row r="111" spans="7:42" x14ac:dyDescent="0.2">
      <c r="AD111" s="18"/>
      <c r="AE111" s="3"/>
      <c r="AG111" s="26"/>
      <c r="AH111" s="26"/>
    </row>
    <row r="112" spans="7:42" x14ac:dyDescent="0.2">
      <c r="AD112" s="18"/>
      <c r="AE112" s="3"/>
      <c r="AG112" s="26"/>
      <c r="AH112" s="26"/>
    </row>
    <row r="113" spans="30:34" x14ac:dyDescent="0.2">
      <c r="AD113" s="18"/>
      <c r="AE113" s="3"/>
      <c r="AG113" s="26"/>
      <c r="AH113" s="26"/>
    </row>
    <row r="114" spans="30:34" x14ac:dyDescent="0.2">
      <c r="AD114" s="18"/>
      <c r="AE114" s="3"/>
      <c r="AG114" s="26"/>
      <c r="AH114" s="26"/>
    </row>
    <row r="115" spans="30:34" x14ac:dyDescent="0.2">
      <c r="AD115" s="18"/>
      <c r="AE115" s="3"/>
      <c r="AG115" s="26"/>
      <c r="AH115" s="26"/>
    </row>
    <row r="116" spans="30:34" x14ac:dyDescent="0.2">
      <c r="AD116" s="18"/>
      <c r="AE116" s="3"/>
      <c r="AG116" s="26"/>
      <c r="AH116" s="26"/>
    </row>
    <row r="117" spans="30:34" x14ac:dyDescent="0.2">
      <c r="AD117" s="18"/>
      <c r="AE117" s="3"/>
      <c r="AG117" s="26"/>
      <c r="AH117" s="26"/>
    </row>
    <row r="118" spans="30:34" x14ac:dyDescent="0.2">
      <c r="AD118" s="18"/>
      <c r="AE118" s="3"/>
      <c r="AG118" s="26"/>
      <c r="AH118" s="26"/>
    </row>
    <row r="119" spans="30:34" x14ac:dyDescent="0.2">
      <c r="AD119" s="18"/>
      <c r="AE119" s="3"/>
      <c r="AG119" s="26"/>
      <c r="AH119" s="26"/>
    </row>
    <row r="120" spans="30:34" x14ac:dyDescent="0.2">
      <c r="AD120" s="18"/>
      <c r="AE120" s="3"/>
      <c r="AG120" s="26"/>
      <c r="AH120" s="26"/>
    </row>
    <row r="121" spans="30:34" x14ac:dyDescent="0.2">
      <c r="AD121" s="18"/>
      <c r="AE121" s="3"/>
      <c r="AG121" s="26"/>
      <c r="AH121" s="26"/>
    </row>
    <row r="122" spans="30:34" x14ac:dyDescent="0.2">
      <c r="AD122" s="18"/>
      <c r="AE122" s="3"/>
      <c r="AG122" s="26"/>
      <c r="AH122" s="26"/>
    </row>
    <row r="123" spans="30:34" x14ac:dyDescent="0.2">
      <c r="AD123" s="18"/>
      <c r="AE123" s="3"/>
      <c r="AG123" s="26"/>
      <c r="AH123" s="26"/>
    </row>
    <row r="124" spans="30:34" x14ac:dyDescent="0.2">
      <c r="AD124" s="18"/>
      <c r="AE124" s="3"/>
    </row>
    <row r="125" spans="30:34" x14ac:dyDescent="0.2">
      <c r="AD125" s="18"/>
      <c r="AE125" s="3"/>
    </row>
    <row r="126" spans="30:34" x14ac:dyDescent="0.2">
      <c r="AD126" s="18"/>
      <c r="AE126" s="3"/>
    </row>
    <row r="127" spans="30:34" x14ac:dyDescent="0.2">
      <c r="AD127" s="18"/>
      <c r="AE127" s="3"/>
    </row>
    <row r="128" spans="30:34" x14ac:dyDescent="0.2">
      <c r="AD128" s="18"/>
      <c r="AE128" s="3"/>
    </row>
    <row r="129" spans="30:31" x14ac:dyDescent="0.2">
      <c r="AD129" s="18"/>
      <c r="AE129" s="3"/>
    </row>
    <row r="130" spans="30:31" x14ac:dyDescent="0.2">
      <c r="AD130" s="18"/>
      <c r="AE130" s="3"/>
    </row>
    <row r="131" spans="30:31" x14ac:dyDescent="0.2">
      <c r="AD131" s="18"/>
      <c r="AE131" s="3"/>
    </row>
    <row r="132" spans="30:31" x14ac:dyDescent="0.2">
      <c r="AD132" s="18"/>
      <c r="AE132" s="3"/>
    </row>
    <row r="133" spans="30:31" x14ac:dyDescent="0.2">
      <c r="AD133" s="18"/>
      <c r="AE133" s="3"/>
    </row>
  </sheetData>
  <mergeCells count="14">
    <mergeCell ref="H2:K2"/>
    <mergeCell ref="H1:K1"/>
    <mergeCell ref="M2:P2"/>
    <mergeCell ref="AG1:AO1"/>
    <mergeCell ref="AQ1:AT1"/>
    <mergeCell ref="AB1:AE1"/>
    <mergeCell ref="M1:P1"/>
    <mergeCell ref="R1:U1"/>
    <mergeCell ref="W1:Z1"/>
    <mergeCell ref="R2:U2"/>
    <mergeCell ref="W2:Z2"/>
    <mergeCell ref="AB2:AE2"/>
    <mergeCell ref="AQ2:AT2"/>
    <mergeCell ref="AG2:AO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T130"/>
  <sheetViews>
    <sheetView topLeftCell="H82" workbookViewId="0">
      <selection activeCell="K14" sqref="K14"/>
    </sheetView>
  </sheetViews>
  <sheetFormatPr defaultRowHeight="12.75" x14ac:dyDescent="0.2"/>
  <cols>
    <col min="1" max="1" width="39.28515625" style="5" customWidth="1"/>
    <col min="2" max="6" width="3" style="3" customWidth="1"/>
    <col min="7" max="7" width="11.140625" style="1" customWidth="1"/>
    <col min="8" max="8" width="19.7109375" style="1" customWidth="1"/>
    <col min="9" max="9" width="20.42578125" style="11" customWidth="1"/>
    <col min="10" max="10" width="11.28515625" style="1" customWidth="1"/>
    <col min="11" max="11" width="67.42578125" style="5" customWidth="1"/>
    <col min="12" max="12" width="11.5703125" style="2" customWidth="1"/>
    <col min="13" max="14" width="25.140625" style="6" customWidth="1"/>
    <col min="15" max="15" width="6.7109375" style="4" customWidth="1"/>
    <col min="16" max="16" width="13.5703125" style="10" customWidth="1"/>
    <col min="17" max="17" width="13.5703125" style="1" customWidth="1"/>
    <col min="18" max="18" width="13.5703125" style="7" customWidth="1"/>
    <col min="19" max="19" width="13.5703125" style="4" customWidth="1"/>
    <col min="20" max="21" width="13.5703125" style="5" customWidth="1"/>
    <col min="22" max="22" width="13.5703125" style="21" customWidth="1"/>
    <col min="23" max="23" width="13.5703125" style="9" customWidth="1"/>
    <col min="24" max="25" width="15.140625" style="1" customWidth="1"/>
    <col min="26" max="26" width="15.140625" style="7" customWidth="1"/>
    <col min="27" max="27" width="15.140625" style="4" customWidth="1"/>
    <col min="28" max="30" width="15.140625" style="3" customWidth="1"/>
    <col min="31" max="31" width="15.140625" style="18" customWidth="1"/>
    <col min="32" max="32" width="15.85546875" style="10" customWidth="1"/>
    <col min="33" max="33" width="15.85546875" style="3" customWidth="1"/>
    <col min="34" max="34" width="8.140625" style="3" customWidth="1"/>
    <col min="35" max="35" width="7.5703125" style="1" customWidth="1"/>
    <col min="36" max="36" width="12.42578125" style="1" customWidth="1"/>
    <col min="37" max="37" width="5.140625" style="1" customWidth="1"/>
    <col min="38" max="38" width="12.85546875" style="7" customWidth="1"/>
    <col min="39" max="39" width="20.140625" style="1" customWidth="1"/>
    <col min="40" max="40" width="14.7109375" style="4" customWidth="1"/>
    <col min="41" max="43" width="14.7109375" style="1" customWidth="1"/>
    <col min="44" max="44" width="14.7109375" style="24" customWidth="1"/>
    <col min="45" max="16384" width="9.140625" style="5"/>
  </cols>
  <sheetData>
    <row r="1" spans="1:46" x14ac:dyDescent="0.2">
      <c r="B1" s="5"/>
      <c r="C1" s="5"/>
      <c r="D1" s="5"/>
      <c r="E1" s="5"/>
      <c r="F1" s="5"/>
      <c r="G1" s="5"/>
      <c r="H1" s="5"/>
      <c r="I1" s="5"/>
      <c r="J1" s="5"/>
      <c r="L1" s="5"/>
      <c r="M1" s="5"/>
      <c r="N1" s="5"/>
      <c r="O1" s="5"/>
      <c r="P1" s="5"/>
      <c r="Q1" s="5"/>
      <c r="R1" s="5"/>
      <c r="S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</row>
    <row r="2" spans="1:46" x14ac:dyDescent="0.2">
      <c r="B2" s="5"/>
      <c r="C2" s="5"/>
      <c r="D2" s="5"/>
      <c r="E2" s="5"/>
      <c r="F2" s="5"/>
      <c r="G2" s="5"/>
      <c r="H2" s="5"/>
      <c r="I2" s="5"/>
      <c r="J2" s="5"/>
      <c r="L2" s="5"/>
      <c r="M2" s="5"/>
      <c r="N2" s="5"/>
      <c r="O2" s="5"/>
      <c r="P2" s="5"/>
      <c r="Q2" s="5"/>
      <c r="R2" s="5"/>
      <c r="S2" s="5"/>
      <c r="T2" s="3"/>
      <c r="U2" s="3"/>
      <c r="V2" s="3"/>
      <c r="W2" s="3"/>
      <c r="X2" s="3"/>
      <c r="Z2" s="1"/>
      <c r="AA2" s="11"/>
      <c r="AB2" s="1"/>
      <c r="AC2" s="5"/>
      <c r="AD2" s="2"/>
      <c r="AE2" s="6"/>
      <c r="AF2" s="6"/>
      <c r="AG2" s="4"/>
      <c r="AH2" s="10"/>
      <c r="AJ2" s="7"/>
      <c r="AK2" s="4"/>
      <c r="AL2" s="5"/>
      <c r="AM2" s="5"/>
      <c r="AN2" s="21"/>
      <c r="AO2" s="9"/>
      <c r="AR2" s="7"/>
      <c r="AS2" s="4"/>
      <c r="AT2" s="1"/>
    </row>
    <row r="3" spans="1:46" x14ac:dyDescent="0.2">
      <c r="A3" s="1"/>
      <c r="B3" s="7"/>
      <c r="C3" s="4"/>
      <c r="D3" s="10"/>
      <c r="I3" s="1"/>
      <c r="J3" s="7"/>
      <c r="K3" s="1"/>
      <c r="L3" s="4"/>
      <c r="M3" s="1"/>
      <c r="N3" s="1"/>
      <c r="O3" s="1"/>
      <c r="P3" s="24"/>
      <c r="Q3" s="5"/>
      <c r="R3" s="5"/>
      <c r="S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</row>
    <row r="4" spans="1:46" x14ac:dyDescent="0.2">
      <c r="B4" s="5"/>
      <c r="C4" s="5"/>
      <c r="D4" s="5"/>
      <c r="E4" s="5"/>
      <c r="F4" s="5"/>
      <c r="G4" s="5"/>
      <c r="H4" s="5"/>
      <c r="I4" s="5"/>
      <c r="J4" s="5"/>
      <c r="L4" s="5"/>
      <c r="M4" s="5"/>
      <c r="N4" s="5"/>
      <c r="O4" s="5"/>
      <c r="P4" s="5"/>
      <c r="Q4" s="5"/>
      <c r="R4" s="5"/>
      <c r="S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</row>
    <row r="5" spans="1:46" x14ac:dyDescent="0.2">
      <c r="B5" s="5"/>
      <c r="C5" s="5"/>
      <c r="D5" s="5"/>
      <c r="E5" s="5"/>
      <c r="F5" s="5"/>
      <c r="G5" s="5"/>
      <c r="H5" s="5"/>
      <c r="I5" s="5"/>
      <c r="J5" s="5"/>
      <c r="L5" s="5"/>
      <c r="M5" s="5"/>
      <c r="N5" s="5"/>
      <c r="O5" s="5"/>
      <c r="P5" s="5"/>
      <c r="Q5" s="5"/>
      <c r="R5" s="5"/>
      <c r="S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3"/>
      <c r="AK5" s="3"/>
      <c r="AL5" s="3"/>
      <c r="AM5" s="3"/>
      <c r="AN5" s="3"/>
      <c r="AQ5" s="11"/>
      <c r="AR5" s="1"/>
      <c r="AT5" s="2"/>
    </row>
    <row r="6" spans="1:46" x14ac:dyDescent="0.2">
      <c r="A6" s="6"/>
      <c r="B6" s="6"/>
      <c r="C6" s="4"/>
      <c r="D6" s="10"/>
      <c r="E6" s="1"/>
      <c r="F6" s="7"/>
      <c r="G6" s="4"/>
      <c r="H6" s="5"/>
      <c r="I6" s="5"/>
      <c r="J6" s="21"/>
      <c r="K6" s="9"/>
      <c r="L6" s="1"/>
      <c r="M6" s="1"/>
      <c r="N6" s="7"/>
      <c r="P6" s="1"/>
      <c r="T6" s="10"/>
      <c r="U6" s="3"/>
      <c r="V6" s="3"/>
      <c r="W6" s="1"/>
      <c r="AA6" s="1"/>
      <c r="AB6" s="4"/>
      <c r="AC6" s="1"/>
      <c r="AD6" s="1"/>
      <c r="AE6" s="1"/>
      <c r="AF6" s="24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</row>
    <row r="7" spans="1:46" x14ac:dyDescent="0.2">
      <c r="B7" s="5"/>
      <c r="C7" s="5"/>
      <c r="D7" s="5"/>
      <c r="E7" s="5"/>
      <c r="F7" s="5"/>
      <c r="G7" s="5"/>
      <c r="H7" s="5"/>
      <c r="I7" s="5"/>
      <c r="J7" s="5"/>
      <c r="L7" s="5"/>
      <c r="M7" s="5"/>
      <c r="N7" s="5"/>
      <c r="O7" s="5"/>
      <c r="P7" s="5"/>
      <c r="Q7" s="5"/>
      <c r="R7" s="5"/>
      <c r="S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</row>
    <row r="8" spans="1:46" s="12" customFormat="1" x14ac:dyDescent="0.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</row>
    <row r="9" spans="1:46" x14ac:dyDescent="0.2">
      <c r="B9" s="5"/>
      <c r="C9" s="5"/>
      <c r="D9" s="5"/>
      <c r="E9" s="5"/>
      <c r="G9" s="3"/>
      <c r="H9" s="3"/>
      <c r="I9" s="3"/>
      <c r="J9" s="3"/>
      <c r="K9" s="1"/>
      <c r="L9" s="1"/>
      <c r="M9" s="11"/>
      <c r="N9" s="1"/>
      <c r="O9" s="5"/>
      <c r="P9" s="2"/>
      <c r="Q9" s="6"/>
      <c r="R9" s="6"/>
      <c r="T9" s="10"/>
      <c r="U9" s="1"/>
      <c r="V9" s="7"/>
      <c r="W9" s="4"/>
      <c r="X9" s="5"/>
      <c r="Y9" s="5"/>
      <c r="Z9" s="21"/>
      <c r="AA9" s="9"/>
      <c r="AB9" s="1"/>
      <c r="AC9" s="1"/>
      <c r="AD9" s="7"/>
      <c r="AE9" s="4"/>
      <c r="AF9" s="1"/>
      <c r="AG9" s="1"/>
      <c r="AH9" s="7"/>
      <c r="AI9" s="4"/>
      <c r="AJ9" s="10"/>
      <c r="AK9" s="3"/>
      <c r="AL9" s="3"/>
      <c r="AN9" s="1"/>
      <c r="AP9" s="7"/>
      <c r="AR9" s="4"/>
      <c r="AS9" s="1"/>
      <c r="AT9" s="1"/>
    </row>
    <row r="10" spans="1:46" x14ac:dyDescent="0.2">
      <c r="A10" s="1"/>
      <c r="B10" s="24"/>
      <c r="C10" s="5"/>
      <c r="D10" s="5"/>
      <c r="E10" s="5"/>
      <c r="F10" s="5"/>
      <c r="G10" s="5"/>
      <c r="H10" s="5"/>
      <c r="I10" s="5"/>
      <c r="J10" s="5"/>
      <c r="L10" s="5"/>
      <c r="M10" s="5"/>
      <c r="N10" s="5"/>
      <c r="O10" s="5"/>
      <c r="P10" s="5"/>
      <c r="Q10" s="5"/>
      <c r="R10" s="5"/>
      <c r="S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</row>
    <row r="11" spans="1:46" x14ac:dyDescent="0.2">
      <c r="B11" s="5"/>
      <c r="C11" s="5"/>
      <c r="D11" s="5"/>
      <c r="E11" s="5"/>
      <c r="F11" s="5"/>
      <c r="G11" s="5"/>
      <c r="H11" s="5"/>
      <c r="I11" s="5"/>
      <c r="J11" s="5"/>
      <c r="L11" s="5"/>
      <c r="M11" s="5"/>
      <c r="N11" s="5"/>
      <c r="O11" s="5"/>
      <c r="P11" s="5"/>
      <c r="Q11" s="5"/>
      <c r="R11" s="5"/>
      <c r="S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</row>
    <row r="12" spans="1:46" ht="13.5" customHeight="1" x14ac:dyDescent="0.2">
      <c r="B12" s="5"/>
      <c r="C12" s="5"/>
      <c r="D12" s="5"/>
      <c r="E12" s="5"/>
      <c r="F12" s="5"/>
      <c r="G12" s="5"/>
      <c r="H12" s="5"/>
      <c r="I12" s="5"/>
      <c r="J12" s="5"/>
      <c r="L12" s="5"/>
      <c r="M12" s="5"/>
      <c r="N12" s="5"/>
      <c r="O12" s="5"/>
      <c r="P12" s="5"/>
      <c r="Q12" s="5"/>
      <c r="R12" s="5"/>
      <c r="S12" s="5"/>
      <c r="V12" s="3"/>
      <c r="W12" s="3"/>
      <c r="X12" s="3"/>
      <c r="Y12" s="3"/>
      <c r="Z12" s="3"/>
      <c r="AA12" s="1"/>
      <c r="AB12" s="1"/>
      <c r="AC12" s="11"/>
      <c r="AD12" s="1"/>
      <c r="AE12" s="5"/>
      <c r="AF12" s="2"/>
      <c r="AG12" s="6"/>
      <c r="AH12" s="6"/>
      <c r="AI12" s="4"/>
      <c r="AJ12" s="10"/>
      <c r="AM12" s="4"/>
      <c r="AN12" s="5"/>
      <c r="AO12" s="5"/>
      <c r="AP12" s="21"/>
      <c r="AQ12" s="9"/>
      <c r="AR12" s="1"/>
      <c r="AS12" s="1"/>
      <c r="AT12" s="7"/>
    </row>
    <row r="13" spans="1:46" x14ac:dyDescent="0.2">
      <c r="A13" s="4"/>
      <c r="B13" s="1"/>
      <c r="C13" s="1"/>
      <c r="D13" s="7"/>
      <c r="E13" s="4"/>
      <c r="F13" s="10"/>
      <c r="G13" s="3"/>
      <c r="H13" s="3"/>
      <c r="I13" s="1"/>
      <c r="K13" s="1"/>
      <c r="L13" s="7"/>
      <c r="M13" s="1"/>
      <c r="N13" s="4"/>
      <c r="O13" s="1"/>
      <c r="P13" s="1"/>
      <c r="R13" s="24"/>
      <c r="S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</row>
    <row r="14" spans="1:46" x14ac:dyDescent="0.2">
      <c r="B14" s="5"/>
      <c r="C14" s="5"/>
      <c r="D14" s="5"/>
      <c r="E14" s="5"/>
      <c r="F14" s="5"/>
      <c r="G14" s="5"/>
      <c r="H14" s="5"/>
      <c r="I14" s="5"/>
      <c r="J14" s="5"/>
      <c r="L14" s="5"/>
      <c r="M14" s="5"/>
      <c r="N14" s="5"/>
      <c r="O14" s="5"/>
      <c r="P14" s="5"/>
      <c r="Q14" s="5"/>
      <c r="R14" s="5"/>
      <c r="S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</row>
    <row r="15" spans="1:46" x14ac:dyDescent="0.2">
      <c r="B15" s="5"/>
      <c r="C15" s="5"/>
      <c r="D15" s="5"/>
      <c r="E15" s="5"/>
      <c r="F15" s="5"/>
      <c r="G15" s="5"/>
      <c r="H15" s="5"/>
      <c r="I15" s="5"/>
      <c r="J15" s="5"/>
      <c r="L15" s="5"/>
      <c r="M15" s="5"/>
      <c r="N15" s="5"/>
      <c r="O15" s="5"/>
      <c r="P15" s="5"/>
      <c r="Q15" s="5"/>
      <c r="R15" s="5"/>
      <c r="S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3"/>
      <c r="AM15" s="3"/>
      <c r="AN15" s="3"/>
      <c r="AO15" s="3"/>
      <c r="AP15" s="3"/>
      <c r="AR15" s="1"/>
      <c r="AS15" s="11"/>
      <c r="AT15" s="1"/>
    </row>
    <row r="16" spans="1:46" x14ac:dyDescent="0.2">
      <c r="B16" s="2"/>
      <c r="C16" s="6"/>
      <c r="D16" s="6"/>
      <c r="E16" s="4"/>
      <c r="F16" s="10"/>
      <c r="H16" s="7"/>
      <c r="I16" s="4"/>
      <c r="J16" s="5"/>
      <c r="L16" s="21"/>
      <c r="M16" s="9"/>
      <c r="N16" s="1"/>
      <c r="O16" s="1"/>
      <c r="P16" s="7"/>
      <c r="Q16" s="4"/>
      <c r="R16" s="1"/>
      <c r="S16" s="1"/>
      <c r="T16" s="7"/>
      <c r="U16" s="4"/>
      <c r="V16" s="10"/>
      <c r="W16" s="3"/>
      <c r="X16" s="3"/>
      <c r="Z16" s="1"/>
      <c r="AA16" s="1"/>
      <c r="AB16" s="7"/>
      <c r="AC16" s="1"/>
      <c r="AD16" s="4"/>
      <c r="AE16" s="1"/>
      <c r="AF16" s="1"/>
      <c r="AG16" s="1"/>
      <c r="AH16" s="24"/>
      <c r="AI16" s="5"/>
      <c r="AJ16" s="5"/>
      <c r="AK16" s="5"/>
      <c r="AL16" s="5"/>
      <c r="AM16" s="5"/>
      <c r="AN16" s="5"/>
      <c r="AO16" s="5"/>
      <c r="AP16" s="5"/>
      <c r="AQ16" s="5"/>
      <c r="AR16" s="5"/>
    </row>
    <row r="17" spans="1:43" x14ac:dyDescent="0.2">
      <c r="B17" s="5"/>
      <c r="C17" s="5"/>
      <c r="D17" s="5"/>
      <c r="E17" s="5"/>
      <c r="F17" s="5"/>
      <c r="G17" s="5"/>
      <c r="H17" s="5"/>
      <c r="I17" s="5"/>
      <c r="J17" s="5"/>
      <c r="L17" s="5"/>
      <c r="M17" s="5"/>
      <c r="N17" s="5"/>
      <c r="O17" s="5"/>
      <c r="P17" s="5"/>
      <c r="Q17" s="5"/>
      <c r="R17" s="5"/>
      <c r="S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</row>
    <row r="18" spans="1:43" x14ac:dyDescent="0.2">
      <c r="B18" s="5"/>
      <c r="C18" s="5"/>
      <c r="D18" s="5"/>
      <c r="E18" s="5"/>
      <c r="F18" s="5"/>
      <c r="G18" s="5"/>
      <c r="H18" s="5"/>
      <c r="I18" s="5"/>
      <c r="J18" s="5"/>
      <c r="L18" s="5"/>
      <c r="M18" s="5"/>
      <c r="N18" s="5"/>
      <c r="O18" s="5"/>
      <c r="P18" s="5"/>
      <c r="Q18" s="5"/>
      <c r="R18" s="5"/>
      <c r="S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</row>
    <row r="19" spans="1:43" x14ac:dyDescent="0.2">
      <c r="B19" s="5"/>
      <c r="C19" s="5"/>
      <c r="D19" s="5"/>
      <c r="E19" s="5"/>
      <c r="F19" s="5"/>
      <c r="G19" s="5"/>
      <c r="H19" s="5"/>
      <c r="I19" s="5"/>
      <c r="J19" s="5"/>
      <c r="L19" s="5"/>
      <c r="M19" s="5"/>
      <c r="N19" s="3"/>
      <c r="O19" s="3"/>
      <c r="P19" s="3"/>
      <c r="Q19" s="3"/>
      <c r="R19" s="3"/>
      <c r="S19" s="1"/>
      <c r="T19" s="1"/>
      <c r="U19" s="11"/>
      <c r="V19" s="1"/>
      <c r="W19" s="5"/>
      <c r="X19" s="2"/>
      <c r="Y19" s="6"/>
      <c r="Z19" s="6"/>
      <c r="AB19" s="10"/>
      <c r="AC19" s="1"/>
      <c r="AD19" s="7"/>
      <c r="AE19" s="4"/>
      <c r="AF19" s="5"/>
      <c r="AG19" s="5"/>
      <c r="AH19" s="21"/>
      <c r="AI19" s="9"/>
      <c r="AM19" s="4"/>
      <c r="AN19" s="1"/>
      <c r="AP19" s="7"/>
      <c r="AQ19" s="4"/>
    </row>
    <row r="20" spans="1:43" x14ac:dyDescent="0.2">
      <c r="A20" s="10"/>
      <c r="D20" s="1"/>
      <c r="E20" s="1"/>
      <c r="F20" s="1"/>
      <c r="G20" s="7"/>
      <c r="I20" s="4"/>
      <c r="K20" s="1"/>
      <c r="L20" s="1"/>
      <c r="M20" s="24"/>
      <c r="N20" s="5"/>
      <c r="O20" s="5"/>
      <c r="P20" s="5"/>
      <c r="Q20" s="5"/>
      <c r="R20" s="5"/>
      <c r="S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</row>
    <row r="21" spans="1:43" x14ac:dyDescent="0.2">
      <c r="B21" s="5"/>
      <c r="C21" s="5"/>
      <c r="D21" s="5"/>
      <c r="E21" s="5"/>
      <c r="F21" s="5"/>
      <c r="G21" s="5"/>
      <c r="H21" s="5"/>
      <c r="I21" s="5"/>
      <c r="J21" s="5"/>
      <c r="L21" s="5"/>
      <c r="M21" s="5"/>
      <c r="N21" s="5"/>
      <c r="O21" s="5"/>
      <c r="P21" s="5"/>
      <c r="Q21" s="5"/>
      <c r="R21" s="5"/>
      <c r="S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</row>
    <row r="22" spans="1:43" x14ac:dyDescent="0.2">
      <c r="B22" s="5"/>
      <c r="C22" s="5"/>
      <c r="D22" s="5"/>
      <c r="E22" s="5"/>
      <c r="F22" s="5"/>
      <c r="G22" s="5"/>
      <c r="H22" s="5"/>
      <c r="I22" s="5"/>
      <c r="J22" s="5"/>
      <c r="L22" s="5"/>
      <c r="M22" s="5"/>
      <c r="N22" s="5"/>
      <c r="O22" s="5"/>
      <c r="P22" s="5"/>
      <c r="Q22" s="5"/>
      <c r="R22" s="5"/>
      <c r="S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3"/>
      <c r="AN22" s="3"/>
      <c r="AO22" s="3"/>
      <c r="AP22" s="3"/>
      <c r="AQ22" s="3"/>
    </row>
    <row r="23" spans="1:43" x14ac:dyDescent="0.2">
      <c r="A23" s="1"/>
      <c r="B23" s="1"/>
      <c r="C23" s="11"/>
      <c r="D23" s="1"/>
      <c r="E23" s="5"/>
      <c r="F23" s="2"/>
      <c r="G23" s="6"/>
      <c r="H23" s="6"/>
      <c r="I23" s="4"/>
      <c r="J23" s="10"/>
      <c r="K23" s="1"/>
      <c r="L23" s="7"/>
      <c r="M23" s="4"/>
      <c r="N23" s="5"/>
      <c r="O23" s="5"/>
      <c r="P23" s="21"/>
      <c r="Q23" s="9"/>
      <c r="R23" s="1"/>
      <c r="S23" s="1"/>
      <c r="T23" s="7"/>
      <c r="U23" s="4"/>
      <c r="V23" s="1"/>
      <c r="W23" s="1"/>
      <c r="X23" s="7"/>
      <c r="Y23" s="4"/>
      <c r="Z23" s="10"/>
      <c r="AA23" s="3"/>
      <c r="AC23" s="1"/>
      <c r="AD23" s="1"/>
      <c r="AE23" s="1"/>
      <c r="AF23" s="7"/>
      <c r="AG23" s="1"/>
      <c r="AH23" s="4"/>
      <c r="AL23" s="24"/>
      <c r="AM23" s="5"/>
      <c r="AN23" s="5"/>
      <c r="AO23" s="5"/>
      <c r="AP23" s="5"/>
      <c r="AQ23" s="5"/>
    </row>
    <row r="24" spans="1:43" x14ac:dyDescent="0.2">
      <c r="B24" s="5"/>
      <c r="C24" s="5"/>
      <c r="D24" s="5"/>
      <c r="E24" s="5"/>
      <c r="F24" s="5"/>
      <c r="G24" s="5"/>
      <c r="H24" s="5"/>
      <c r="I24" s="5"/>
      <c r="J24" s="5"/>
      <c r="L24" s="5"/>
      <c r="M24" s="5"/>
      <c r="N24" s="5"/>
      <c r="O24" s="5"/>
      <c r="P24" s="5"/>
      <c r="Q24" s="5"/>
      <c r="R24" s="5"/>
      <c r="S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</row>
    <row r="25" spans="1:43" x14ac:dyDescent="0.2">
      <c r="B25" s="5"/>
      <c r="C25" s="5"/>
      <c r="D25" s="5"/>
      <c r="E25" s="5"/>
      <c r="F25" s="5"/>
      <c r="G25" s="5"/>
      <c r="H25" s="5"/>
      <c r="I25" s="5"/>
      <c r="J25" s="5"/>
      <c r="L25" s="5"/>
      <c r="M25" s="5"/>
      <c r="N25" s="5"/>
      <c r="O25" s="5"/>
      <c r="P25" s="5"/>
      <c r="Q25" s="5"/>
      <c r="R25" s="5"/>
      <c r="S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</row>
    <row r="26" spans="1:43" x14ac:dyDescent="0.2">
      <c r="B26" s="5"/>
      <c r="C26" s="5"/>
      <c r="D26" s="5"/>
      <c r="E26" s="5"/>
      <c r="F26" s="5"/>
      <c r="G26" s="5"/>
      <c r="H26" s="5"/>
      <c r="I26" s="5"/>
      <c r="J26" s="5"/>
      <c r="L26" s="5"/>
      <c r="M26" s="5"/>
      <c r="N26" s="5"/>
      <c r="O26" s="5"/>
      <c r="P26" s="5"/>
      <c r="Q26" s="5"/>
      <c r="R26" s="5"/>
      <c r="S26" s="5"/>
      <c r="U26" s="3"/>
      <c r="V26" s="3"/>
      <c r="W26" s="3"/>
      <c r="X26" s="3"/>
      <c r="Y26" s="3"/>
      <c r="Z26" s="1"/>
      <c r="AA26" s="1"/>
      <c r="AB26" s="11"/>
      <c r="AC26" s="1"/>
      <c r="AD26" s="5"/>
      <c r="AE26" s="2"/>
      <c r="AF26" s="6"/>
      <c r="AG26" s="6"/>
      <c r="AH26" s="4"/>
      <c r="AI26" s="10"/>
      <c r="AK26" s="7"/>
      <c r="AL26" s="4"/>
      <c r="AM26" s="5"/>
      <c r="AN26" s="5"/>
      <c r="AO26" s="21"/>
      <c r="AP26" s="9"/>
    </row>
    <row r="27" spans="1:43" x14ac:dyDescent="0.2">
      <c r="A27" s="1"/>
      <c r="B27" s="7"/>
      <c r="C27" s="4"/>
      <c r="D27" s="1"/>
      <c r="E27" s="1"/>
      <c r="F27" s="7"/>
      <c r="G27" s="4"/>
      <c r="H27" s="10"/>
      <c r="I27" s="3"/>
      <c r="J27" s="3"/>
      <c r="K27" s="1"/>
      <c r="L27" s="1"/>
      <c r="M27" s="1"/>
      <c r="N27" s="7"/>
      <c r="O27" s="1"/>
      <c r="P27" s="4"/>
      <c r="R27" s="1"/>
      <c r="S27" s="1"/>
      <c r="T27" s="24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</row>
    <row r="28" spans="1:43" x14ac:dyDescent="0.2">
      <c r="B28" s="5"/>
      <c r="C28" s="5"/>
      <c r="D28" s="5"/>
      <c r="E28" s="5"/>
      <c r="F28" s="5"/>
      <c r="G28" s="5"/>
      <c r="H28" s="5"/>
      <c r="I28" s="5"/>
      <c r="J28" s="5"/>
      <c r="L28" s="5"/>
      <c r="M28" s="5"/>
      <c r="N28" s="5"/>
      <c r="O28" s="5"/>
      <c r="P28" s="5"/>
      <c r="Q28" s="5"/>
      <c r="R28" s="5"/>
      <c r="S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</row>
    <row r="29" spans="1:43" x14ac:dyDescent="0.2">
      <c r="B29" s="5"/>
      <c r="C29" s="5"/>
      <c r="D29" s="5"/>
      <c r="E29" s="5"/>
      <c r="F29" s="5"/>
      <c r="G29" s="5"/>
      <c r="H29" s="5"/>
      <c r="I29" s="5"/>
      <c r="J29" s="5"/>
      <c r="L29" s="5"/>
      <c r="M29" s="5"/>
      <c r="N29" s="5"/>
      <c r="O29" s="5"/>
      <c r="P29" s="5"/>
      <c r="Q29" s="5"/>
      <c r="R29" s="5"/>
      <c r="S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</row>
    <row r="30" spans="1:43" x14ac:dyDescent="0.2">
      <c r="B30" s="5"/>
      <c r="G30" s="3"/>
      <c r="I30" s="1"/>
      <c r="J30" s="11"/>
      <c r="K30" s="1"/>
      <c r="L30" s="5"/>
      <c r="M30" s="2"/>
      <c r="O30" s="6"/>
      <c r="P30" s="4"/>
      <c r="Q30" s="10"/>
      <c r="R30" s="1"/>
      <c r="S30" s="7"/>
      <c r="T30" s="4"/>
      <c r="V30" s="5"/>
      <c r="W30" s="21"/>
      <c r="X30" s="9"/>
      <c r="Z30" s="1"/>
      <c r="AA30" s="7"/>
      <c r="AB30" s="4"/>
      <c r="AC30" s="1"/>
      <c r="AD30" s="1"/>
      <c r="AE30" s="7"/>
      <c r="AF30" s="4"/>
      <c r="AG30" s="10"/>
      <c r="AI30" s="3"/>
      <c r="AL30" s="1"/>
      <c r="AM30" s="7"/>
      <c r="AN30" s="1"/>
      <c r="AO30" s="4"/>
    </row>
    <row r="31" spans="1:43" x14ac:dyDescent="0.2">
      <c r="A31" s="1"/>
      <c r="B31" s="24"/>
      <c r="C31" s="5"/>
      <c r="D31" s="5"/>
      <c r="E31" s="5"/>
      <c r="F31" s="5"/>
      <c r="G31" s="5"/>
      <c r="H31" s="5"/>
      <c r="I31" s="5"/>
      <c r="J31" s="5"/>
      <c r="L31" s="5"/>
      <c r="M31" s="5"/>
      <c r="N31" s="5"/>
      <c r="O31" s="5"/>
      <c r="P31" s="5"/>
      <c r="Q31" s="5"/>
      <c r="R31" s="5"/>
      <c r="S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</row>
    <row r="32" spans="1:43" x14ac:dyDescent="0.2">
      <c r="B32" s="5"/>
      <c r="C32" s="5"/>
      <c r="D32" s="5"/>
      <c r="E32" s="5"/>
      <c r="F32" s="5"/>
      <c r="G32" s="5"/>
      <c r="H32" s="5"/>
      <c r="I32" s="5"/>
      <c r="J32" s="5"/>
      <c r="L32" s="5"/>
      <c r="M32" s="5"/>
      <c r="N32" s="5"/>
      <c r="O32" s="5"/>
      <c r="P32" s="5"/>
      <c r="Q32" s="5"/>
      <c r="R32" s="5"/>
      <c r="S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</row>
    <row r="33" spans="28:32" x14ac:dyDescent="0.2">
      <c r="AB33" s="5"/>
      <c r="AC33" s="5"/>
      <c r="AD33" s="5"/>
      <c r="AE33" s="5"/>
      <c r="AF33" s="5"/>
    </row>
    <row r="34" spans="28:32" x14ac:dyDescent="0.2">
      <c r="AB34" s="5"/>
      <c r="AC34" s="5"/>
      <c r="AD34" s="5"/>
      <c r="AE34" s="5"/>
      <c r="AF34" s="5"/>
    </row>
    <row r="35" spans="28:32" x14ac:dyDescent="0.2">
      <c r="AB35" s="5"/>
      <c r="AC35" s="5"/>
      <c r="AD35" s="5"/>
      <c r="AE35" s="5"/>
      <c r="AF35" s="5"/>
    </row>
    <row r="36" spans="28:32" x14ac:dyDescent="0.2">
      <c r="AB36" s="5"/>
      <c r="AC36" s="5"/>
      <c r="AD36" s="5"/>
      <c r="AE36" s="5"/>
      <c r="AF36" s="5"/>
    </row>
    <row r="37" spans="28:32" x14ac:dyDescent="0.2">
      <c r="AB37" s="5"/>
      <c r="AC37" s="5"/>
      <c r="AD37" s="5"/>
      <c r="AE37" s="5"/>
      <c r="AF37" s="5"/>
    </row>
    <row r="38" spans="28:32" x14ac:dyDescent="0.2">
      <c r="AB38" s="5"/>
      <c r="AC38" s="5"/>
      <c r="AE38" s="3"/>
      <c r="AF38" s="3"/>
    </row>
    <row r="39" spans="28:32" x14ac:dyDescent="0.2">
      <c r="AD39" s="1"/>
      <c r="AE39" s="1"/>
      <c r="AF39" s="11"/>
    </row>
    <row r="40" spans="28:32" x14ac:dyDescent="0.2">
      <c r="AB40" s="1"/>
      <c r="AC40" s="5"/>
      <c r="AD40" s="2"/>
      <c r="AE40" s="6"/>
      <c r="AF40" s="6"/>
    </row>
    <row r="41" spans="28:32" x14ac:dyDescent="0.2">
      <c r="AB41" s="4"/>
      <c r="AC41" s="10"/>
      <c r="AD41" s="1"/>
      <c r="AE41" s="7"/>
      <c r="AF41" s="4"/>
    </row>
    <row r="42" spans="28:32" x14ac:dyDescent="0.2">
      <c r="AB42" s="5"/>
      <c r="AC42" s="5"/>
      <c r="AD42" s="21"/>
      <c r="AE42" s="9"/>
      <c r="AF42" s="1"/>
    </row>
    <row r="43" spans="28:32" x14ac:dyDescent="0.2">
      <c r="AB43" s="1"/>
      <c r="AC43" s="7"/>
      <c r="AD43" s="4"/>
      <c r="AE43" s="3"/>
      <c r="AF43" s="3"/>
    </row>
    <row r="44" spans="28:32" x14ac:dyDescent="0.2">
      <c r="AC44" s="18"/>
      <c r="AD44" s="10"/>
      <c r="AE44" s="3"/>
      <c r="AF44" s="3"/>
    </row>
    <row r="45" spans="28:32" x14ac:dyDescent="0.2">
      <c r="AB45" s="1"/>
      <c r="AC45" s="1"/>
      <c r="AD45" s="1"/>
      <c r="AE45" s="7"/>
      <c r="AF45" s="1"/>
    </row>
    <row r="46" spans="28:32" x14ac:dyDescent="0.2">
      <c r="AB46" s="4"/>
      <c r="AC46" s="1"/>
      <c r="AD46" s="1"/>
      <c r="AE46" s="1"/>
      <c r="AF46" s="24"/>
    </row>
    <row r="47" spans="28:32" x14ac:dyDescent="0.2">
      <c r="AB47" s="5"/>
      <c r="AC47" s="5"/>
      <c r="AD47" s="5"/>
      <c r="AE47" s="5"/>
      <c r="AF47" s="5"/>
    </row>
    <row r="48" spans="28:32" x14ac:dyDescent="0.2">
      <c r="AB48" s="5"/>
      <c r="AC48" s="5"/>
      <c r="AD48" s="5"/>
      <c r="AE48" s="5"/>
      <c r="AF48" s="5"/>
    </row>
    <row r="49" spans="28:32" x14ac:dyDescent="0.2">
      <c r="AB49" s="5"/>
      <c r="AC49" s="5"/>
      <c r="AD49" s="5"/>
      <c r="AE49" s="5"/>
      <c r="AF49" s="5"/>
    </row>
    <row r="50" spans="28:32" x14ac:dyDescent="0.2">
      <c r="AB50" s="5"/>
      <c r="AC50" s="5"/>
      <c r="AD50" s="5"/>
      <c r="AE50" s="5"/>
      <c r="AF50" s="5"/>
    </row>
    <row r="51" spans="28:32" x14ac:dyDescent="0.2">
      <c r="AB51" s="5"/>
      <c r="AC51" s="5"/>
      <c r="AD51" s="5"/>
      <c r="AE51" s="5"/>
      <c r="AF51" s="5"/>
    </row>
    <row r="52" spans="28:32" x14ac:dyDescent="0.2">
      <c r="AB52" s="5"/>
      <c r="AC52" s="5"/>
      <c r="AD52" s="5"/>
      <c r="AE52" s="5"/>
      <c r="AF52" s="5"/>
    </row>
    <row r="53" spans="28:32" x14ac:dyDescent="0.2">
      <c r="AB53" s="5"/>
      <c r="AC53" s="5"/>
      <c r="AD53" s="5"/>
      <c r="AE53" s="5"/>
      <c r="AF53" s="5"/>
    </row>
    <row r="54" spans="28:32" x14ac:dyDescent="0.2">
      <c r="AB54" s="5"/>
      <c r="AC54" s="5"/>
      <c r="AD54" s="5"/>
      <c r="AE54" s="5"/>
      <c r="AF54" s="5"/>
    </row>
    <row r="55" spans="28:32" x14ac:dyDescent="0.2">
      <c r="AB55" s="5"/>
      <c r="AC55" s="5"/>
      <c r="AD55" s="5"/>
      <c r="AE55" s="5"/>
      <c r="AF55" s="5"/>
    </row>
    <row r="56" spans="28:32" x14ac:dyDescent="0.2">
      <c r="AB56" s="5"/>
      <c r="AC56" s="5"/>
      <c r="AD56" s="5"/>
      <c r="AE56" s="5"/>
      <c r="AF56" s="5"/>
    </row>
    <row r="57" spans="28:32" x14ac:dyDescent="0.2">
      <c r="AB57" s="5"/>
      <c r="AC57" s="5"/>
      <c r="AD57" s="5"/>
      <c r="AE57" s="5"/>
      <c r="AF57" s="5"/>
    </row>
    <row r="58" spans="28:32" x14ac:dyDescent="0.2">
      <c r="AB58" s="5"/>
      <c r="AC58" s="5"/>
      <c r="AD58" s="5"/>
      <c r="AE58" s="5"/>
      <c r="AF58" s="5"/>
    </row>
    <row r="59" spans="28:32" x14ac:dyDescent="0.2">
      <c r="AB59" s="5"/>
      <c r="AC59" s="5"/>
      <c r="AD59" s="5"/>
      <c r="AE59" s="5"/>
      <c r="AF59" s="5"/>
    </row>
    <row r="60" spans="28:32" x14ac:dyDescent="0.2">
      <c r="AB60" s="5"/>
      <c r="AC60" s="5"/>
      <c r="AD60" s="5"/>
      <c r="AE60" s="5"/>
      <c r="AF60" s="5"/>
    </row>
    <row r="61" spans="28:32" x14ac:dyDescent="0.2">
      <c r="AB61" s="5"/>
      <c r="AC61" s="5"/>
      <c r="AD61" s="5"/>
      <c r="AE61" s="5"/>
      <c r="AF61" s="5"/>
    </row>
    <row r="62" spans="28:32" x14ac:dyDescent="0.2">
      <c r="AB62" s="5"/>
      <c r="AC62" s="5"/>
      <c r="AD62" s="5"/>
      <c r="AE62" s="5"/>
      <c r="AF62" s="5"/>
    </row>
    <row r="63" spans="28:32" x14ac:dyDescent="0.2">
      <c r="AB63" s="5"/>
      <c r="AC63" s="5"/>
      <c r="AD63" s="5"/>
      <c r="AE63" s="5"/>
      <c r="AF63" s="5"/>
    </row>
    <row r="64" spans="28:32" x14ac:dyDescent="0.2">
      <c r="AB64" s="5"/>
      <c r="AC64" s="5"/>
      <c r="AD64" s="5"/>
      <c r="AE64" s="5"/>
      <c r="AF64" s="5"/>
    </row>
    <row r="65" spans="28:32" x14ac:dyDescent="0.2">
      <c r="AB65" s="5"/>
      <c r="AC65" s="5"/>
      <c r="AD65" s="5"/>
      <c r="AE65" s="5"/>
      <c r="AF65" s="5"/>
    </row>
    <row r="66" spans="28:32" x14ac:dyDescent="0.2">
      <c r="AB66" s="5"/>
      <c r="AC66" s="5"/>
      <c r="AD66" s="5"/>
      <c r="AE66" s="5"/>
      <c r="AF66" s="5"/>
    </row>
    <row r="67" spans="28:32" x14ac:dyDescent="0.2">
      <c r="AB67" s="5"/>
      <c r="AC67" s="5"/>
      <c r="AD67" s="5"/>
      <c r="AE67" s="5"/>
      <c r="AF67" s="5"/>
    </row>
    <row r="68" spans="28:32" x14ac:dyDescent="0.2">
      <c r="AB68" s="5"/>
      <c r="AC68" s="5"/>
      <c r="AD68" s="5"/>
      <c r="AE68" s="5"/>
      <c r="AF68" s="5"/>
    </row>
    <row r="69" spans="28:32" x14ac:dyDescent="0.2">
      <c r="AB69" s="5"/>
      <c r="AE69" s="3"/>
      <c r="AF69" s="3"/>
    </row>
    <row r="70" spans="28:32" x14ac:dyDescent="0.2">
      <c r="AC70" s="1"/>
      <c r="AD70" s="1"/>
      <c r="AE70" s="11"/>
      <c r="AF70" s="1"/>
    </row>
    <row r="71" spans="28:32" x14ac:dyDescent="0.2">
      <c r="AB71" s="5"/>
      <c r="AC71" s="2"/>
      <c r="AD71" s="6"/>
      <c r="AE71" s="6"/>
      <c r="AF71" s="4"/>
    </row>
    <row r="72" spans="28:32" x14ac:dyDescent="0.2">
      <c r="AB72" s="10"/>
      <c r="AC72" s="1"/>
      <c r="AD72" s="7"/>
      <c r="AE72" s="4"/>
      <c r="AF72" s="5"/>
    </row>
    <row r="73" spans="28:32" x14ac:dyDescent="0.2">
      <c r="AB73" s="5"/>
      <c r="AC73" s="21"/>
      <c r="AD73" s="9"/>
      <c r="AE73" s="1"/>
      <c r="AF73" s="1"/>
    </row>
    <row r="74" spans="28:32" x14ac:dyDescent="0.2">
      <c r="AB74" s="7"/>
      <c r="AC74" s="4"/>
      <c r="AE74" s="3"/>
      <c r="AF74" s="3"/>
    </row>
    <row r="75" spans="28:32" x14ac:dyDescent="0.2">
      <c r="AB75" s="18"/>
      <c r="AC75" s="10"/>
      <c r="AE75" s="3"/>
      <c r="AF75" s="1"/>
    </row>
    <row r="76" spans="28:32" x14ac:dyDescent="0.2">
      <c r="AB76" s="1"/>
      <c r="AC76" s="1"/>
      <c r="AD76" s="7"/>
      <c r="AE76" s="1"/>
      <c r="AF76" s="4"/>
    </row>
    <row r="77" spans="28:32" x14ac:dyDescent="0.2">
      <c r="AB77" s="1"/>
      <c r="AC77" s="1"/>
      <c r="AD77" s="1"/>
      <c r="AE77" s="24"/>
      <c r="AF77" s="5"/>
    </row>
    <row r="78" spans="28:32" x14ac:dyDescent="0.2">
      <c r="AB78" s="5"/>
      <c r="AC78" s="5"/>
      <c r="AD78" s="5"/>
      <c r="AE78" s="5"/>
      <c r="AF78" s="5"/>
    </row>
    <row r="79" spans="28:32" x14ac:dyDescent="0.2">
      <c r="AB79" s="5"/>
      <c r="AC79" s="5"/>
      <c r="AD79" s="5"/>
      <c r="AE79" s="5"/>
      <c r="AF79" s="5"/>
    </row>
    <row r="80" spans="28:32" x14ac:dyDescent="0.2">
      <c r="AB80" s="5"/>
      <c r="AC80" s="5"/>
      <c r="AD80" s="5"/>
      <c r="AE80" s="5"/>
      <c r="AF80" s="5"/>
    </row>
    <row r="81" spans="28:32" x14ac:dyDescent="0.2">
      <c r="AB81" s="5"/>
      <c r="AC81" s="5"/>
      <c r="AD81" s="5"/>
      <c r="AE81" s="5"/>
      <c r="AF81" s="5"/>
    </row>
    <row r="82" spans="28:32" x14ac:dyDescent="0.2">
      <c r="AB82" s="5"/>
      <c r="AC82" s="5"/>
      <c r="AD82" s="5"/>
      <c r="AE82" s="5"/>
      <c r="AF82" s="5"/>
    </row>
    <row r="83" spans="28:32" x14ac:dyDescent="0.2">
      <c r="AB83" s="5"/>
      <c r="AC83" s="5"/>
      <c r="AD83" s="5"/>
      <c r="AE83" s="5"/>
      <c r="AF83" s="5"/>
    </row>
    <row r="84" spans="28:32" x14ac:dyDescent="0.2">
      <c r="AB84" s="5"/>
      <c r="AC84" s="5"/>
      <c r="AD84" s="5"/>
      <c r="AE84" s="5"/>
      <c r="AF84" s="5"/>
    </row>
    <row r="85" spans="28:32" x14ac:dyDescent="0.2">
      <c r="AB85" s="5"/>
      <c r="AC85" s="5"/>
      <c r="AD85" s="5"/>
      <c r="AE85" s="5"/>
      <c r="AF85" s="5"/>
    </row>
    <row r="86" spans="28:32" x14ac:dyDescent="0.2">
      <c r="AB86" s="5"/>
      <c r="AC86" s="5"/>
      <c r="AD86" s="5"/>
      <c r="AE86" s="5"/>
      <c r="AF86" s="5"/>
    </row>
    <row r="87" spans="28:32" x14ac:dyDescent="0.2">
      <c r="AB87" s="5"/>
      <c r="AC87" s="5"/>
      <c r="AD87" s="5"/>
      <c r="AE87" s="5"/>
      <c r="AF87" s="5"/>
    </row>
    <row r="88" spans="28:32" x14ac:dyDescent="0.2">
      <c r="AB88" s="5"/>
      <c r="AC88" s="5"/>
      <c r="AD88" s="5"/>
      <c r="AE88" s="5"/>
      <c r="AF88" s="5"/>
    </row>
    <row r="89" spans="28:32" x14ac:dyDescent="0.2">
      <c r="AB89" s="5"/>
      <c r="AC89" s="5"/>
      <c r="AD89" s="5"/>
      <c r="AE89" s="5"/>
      <c r="AF89" s="5"/>
    </row>
    <row r="90" spans="28:32" x14ac:dyDescent="0.2">
      <c r="AB90" s="5"/>
      <c r="AC90" s="5"/>
      <c r="AD90" s="5"/>
      <c r="AE90" s="5"/>
      <c r="AF90" s="5"/>
    </row>
    <row r="91" spans="28:32" x14ac:dyDescent="0.2">
      <c r="AB91" s="5"/>
      <c r="AC91" s="5"/>
      <c r="AD91" s="5"/>
      <c r="AE91" s="5"/>
      <c r="AF91" s="5"/>
    </row>
    <row r="92" spans="28:32" x14ac:dyDescent="0.2">
      <c r="AB92" s="5"/>
      <c r="AC92" s="5"/>
      <c r="AD92" s="5"/>
      <c r="AE92" s="5"/>
      <c r="AF92" s="5"/>
    </row>
    <row r="93" spans="28:32" x14ac:dyDescent="0.2">
      <c r="AB93" s="5"/>
      <c r="AC93" s="5"/>
      <c r="AD93" s="5"/>
      <c r="AE93" s="5"/>
      <c r="AF93" s="5"/>
    </row>
    <row r="94" spans="28:32" x14ac:dyDescent="0.2">
      <c r="AB94" s="5"/>
      <c r="AC94" s="5"/>
      <c r="AD94" s="5"/>
      <c r="AE94" s="5"/>
      <c r="AF94" s="5"/>
    </row>
    <row r="95" spans="28:32" x14ac:dyDescent="0.2">
      <c r="AB95" s="5"/>
      <c r="AC95" s="5"/>
      <c r="AD95" s="5"/>
      <c r="AE95" s="5"/>
      <c r="AF95" s="5"/>
    </row>
    <row r="96" spans="28:32" x14ac:dyDescent="0.2">
      <c r="AB96" s="5"/>
      <c r="AC96" s="5"/>
      <c r="AD96" s="5"/>
      <c r="AE96" s="5"/>
      <c r="AF96" s="5"/>
    </row>
    <row r="97" spans="28:32" x14ac:dyDescent="0.2">
      <c r="AB97" s="5"/>
      <c r="AC97" s="5"/>
      <c r="AD97" s="5"/>
      <c r="AE97" s="5"/>
      <c r="AF97" s="5"/>
    </row>
    <row r="98" spans="28:32" x14ac:dyDescent="0.2">
      <c r="AB98" s="5"/>
      <c r="AC98" s="5"/>
      <c r="AD98" s="5"/>
      <c r="AE98" s="5"/>
      <c r="AF98" s="5"/>
    </row>
    <row r="99" spans="28:32" x14ac:dyDescent="0.2">
      <c r="AB99" s="5"/>
      <c r="AC99" s="5"/>
      <c r="AD99" s="5"/>
      <c r="AE99" s="5"/>
      <c r="AF99" s="5"/>
    </row>
    <row r="100" spans="28:32" x14ac:dyDescent="0.2">
      <c r="AE100" s="3"/>
      <c r="AF100" s="3"/>
    </row>
    <row r="101" spans="28:32" x14ac:dyDescent="0.2">
      <c r="AB101" s="1"/>
      <c r="AC101" s="1"/>
      <c r="AD101" s="11"/>
      <c r="AE101" s="1"/>
      <c r="AF101" s="5"/>
    </row>
    <row r="102" spans="28:32" x14ac:dyDescent="0.2">
      <c r="AB102" s="2"/>
      <c r="AC102" s="6"/>
      <c r="AD102" s="6"/>
      <c r="AE102" s="4"/>
    </row>
    <row r="103" spans="28:32" x14ac:dyDescent="0.2">
      <c r="AB103" s="1"/>
      <c r="AC103" s="7"/>
      <c r="AD103" s="4"/>
      <c r="AE103" s="5"/>
      <c r="AF103" s="5"/>
    </row>
    <row r="104" spans="28:32" x14ac:dyDescent="0.2">
      <c r="AB104" s="21"/>
      <c r="AC104" s="9"/>
      <c r="AD104" s="1"/>
      <c r="AE104" s="1"/>
      <c r="AF104" s="7"/>
    </row>
    <row r="105" spans="28:32" x14ac:dyDescent="0.2">
      <c r="AB105" s="4"/>
      <c r="AE105" s="3"/>
      <c r="AF105" s="18"/>
    </row>
    <row r="106" spans="28:32" x14ac:dyDescent="0.2">
      <c r="AB106" s="10"/>
      <c r="AE106" s="1"/>
      <c r="AF106" s="1"/>
    </row>
    <row r="107" spans="28:32" x14ac:dyDescent="0.2">
      <c r="AB107" s="1"/>
      <c r="AC107" s="7"/>
      <c r="AD107" s="1"/>
      <c r="AE107" s="4"/>
      <c r="AF107" s="1"/>
    </row>
    <row r="108" spans="28:32" x14ac:dyDescent="0.2">
      <c r="AB108" s="1"/>
      <c r="AC108" s="1"/>
      <c r="AD108" s="24"/>
      <c r="AE108" s="5"/>
      <c r="AF108" s="5"/>
    </row>
    <row r="109" spans="28:32" x14ac:dyDescent="0.2">
      <c r="AB109" s="5"/>
      <c r="AC109" s="5"/>
      <c r="AD109" s="5"/>
      <c r="AE109" s="5"/>
      <c r="AF109" s="5"/>
    </row>
    <row r="110" spans="28:32" x14ac:dyDescent="0.2">
      <c r="AB110" s="5"/>
      <c r="AC110" s="5"/>
      <c r="AD110" s="5"/>
      <c r="AE110" s="5"/>
      <c r="AF110" s="5"/>
    </row>
    <row r="111" spans="28:32" x14ac:dyDescent="0.2">
      <c r="AB111" s="5"/>
      <c r="AC111" s="5"/>
      <c r="AD111" s="5"/>
      <c r="AE111" s="5"/>
      <c r="AF111" s="5"/>
    </row>
    <row r="112" spans="28:32" x14ac:dyDescent="0.2">
      <c r="AB112" s="5"/>
      <c r="AC112" s="5"/>
      <c r="AD112" s="5"/>
      <c r="AE112" s="5"/>
      <c r="AF112" s="5"/>
    </row>
    <row r="113" spans="28:32" x14ac:dyDescent="0.2">
      <c r="AB113" s="5"/>
      <c r="AC113" s="5"/>
      <c r="AD113" s="5"/>
      <c r="AE113" s="5"/>
      <c r="AF113" s="5"/>
    </row>
    <row r="114" spans="28:32" x14ac:dyDescent="0.2">
      <c r="AB114" s="5"/>
      <c r="AC114" s="5"/>
      <c r="AD114" s="5"/>
      <c r="AE114" s="5"/>
      <c r="AF114" s="5"/>
    </row>
    <row r="115" spans="28:32" x14ac:dyDescent="0.2">
      <c r="AB115" s="5"/>
      <c r="AC115" s="5"/>
      <c r="AD115" s="5"/>
      <c r="AE115" s="5"/>
      <c r="AF115" s="5"/>
    </row>
    <row r="116" spans="28:32" x14ac:dyDescent="0.2">
      <c r="AB116" s="5"/>
      <c r="AC116" s="5"/>
      <c r="AD116" s="5"/>
      <c r="AE116" s="5"/>
      <c r="AF116" s="5"/>
    </row>
    <row r="117" spans="28:32" x14ac:dyDescent="0.2">
      <c r="AB117" s="5"/>
      <c r="AC117" s="5"/>
      <c r="AD117" s="5"/>
      <c r="AE117" s="5"/>
      <c r="AF117" s="5"/>
    </row>
    <row r="118" spans="28:32" x14ac:dyDescent="0.2">
      <c r="AB118" s="5"/>
      <c r="AC118" s="5"/>
      <c r="AD118" s="5"/>
      <c r="AE118" s="5"/>
      <c r="AF118" s="5"/>
    </row>
    <row r="119" spans="28:32" x14ac:dyDescent="0.2">
      <c r="AB119" s="5"/>
      <c r="AC119" s="5"/>
      <c r="AD119" s="5"/>
      <c r="AE119" s="5"/>
      <c r="AF119" s="5"/>
    </row>
    <row r="120" spans="28:32" x14ac:dyDescent="0.2">
      <c r="AB120" s="5"/>
      <c r="AC120" s="5"/>
      <c r="AD120" s="5"/>
      <c r="AE120" s="5"/>
      <c r="AF120" s="5"/>
    </row>
    <row r="121" spans="28:32" x14ac:dyDescent="0.2">
      <c r="AB121" s="5"/>
      <c r="AC121" s="5"/>
      <c r="AD121" s="5"/>
      <c r="AE121" s="5"/>
      <c r="AF121" s="5"/>
    </row>
    <row r="122" spans="28:32" x14ac:dyDescent="0.2">
      <c r="AB122" s="5"/>
      <c r="AC122" s="5"/>
      <c r="AD122" s="5"/>
      <c r="AE122" s="5"/>
      <c r="AF122" s="5"/>
    </row>
    <row r="123" spans="28:32" x14ac:dyDescent="0.2">
      <c r="AB123" s="5"/>
      <c r="AC123" s="5"/>
      <c r="AD123" s="5"/>
      <c r="AE123" s="5"/>
      <c r="AF123" s="5"/>
    </row>
    <row r="124" spans="28:32" x14ac:dyDescent="0.2">
      <c r="AB124" s="5"/>
      <c r="AC124" s="5"/>
      <c r="AD124" s="5"/>
      <c r="AE124" s="5"/>
      <c r="AF124" s="5"/>
    </row>
    <row r="125" spans="28:32" x14ac:dyDescent="0.2">
      <c r="AB125" s="5"/>
      <c r="AC125" s="5"/>
      <c r="AD125" s="5"/>
      <c r="AE125" s="5"/>
      <c r="AF125" s="5"/>
    </row>
    <row r="126" spans="28:32" x14ac:dyDescent="0.2">
      <c r="AB126" s="5"/>
      <c r="AC126" s="5"/>
      <c r="AD126" s="5"/>
      <c r="AE126" s="5"/>
      <c r="AF126" s="5"/>
    </row>
    <row r="127" spans="28:32" x14ac:dyDescent="0.2">
      <c r="AB127" s="5"/>
      <c r="AC127" s="5"/>
      <c r="AD127" s="5"/>
      <c r="AE127" s="5"/>
      <c r="AF127" s="5"/>
    </row>
    <row r="128" spans="28:32" x14ac:dyDescent="0.2">
      <c r="AB128" s="5"/>
      <c r="AC128" s="5"/>
      <c r="AD128" s="5"/>
      <c r="AE128" s="5"/>
      <c r="AF128" s="5"/>
    </row>
    <row r="129" spans="28:31" x14ac:dyDescent="0.2">
      <c r="AB129" s="5"/>
      <c r="AC129" s="5"/>
      <c r="AD129" s="5"/>
      <c r="AE129" s="5"/>
    </row>
    <row r="130" spans="28:31" x14ac:dyDescent="0.2">
      <c r="AB130" s="5"/>
      <c r="AC130" s="5"/>
      <c r="AD130" s="5"/>
      <c r="AE130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deputy2017</dc:creator>
  <cp:lastModifiedBy>deputy2017</cp:lastModifiedBy>
  <dcterms:created xsi:type="dcterms:W3CDTF">2017-01-23T17:00:35Z</dcterms:created>
  <dcterms:modified xsi:type="dcterms:W3CDTF">2017-02-03T20:27:18Z</dcterms:modified>
</cp:coreProperties>
</file>